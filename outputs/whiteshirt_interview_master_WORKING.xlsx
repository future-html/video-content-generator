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8f877635d3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TART_HERE" sheetId="1" r:id="Rcb524da11c0248f0"/>
    <x:sheet xmlns:r="http://schemas.openxmlformats.org/officeDocument/2006/relationships" name="SYSTEM_PROGRESS_ROADMAP" sheetId="2" r:id="R51503f4ba1c44f49"/>
    <x:sheet xmlns:r="http://schemas.openxmlformats.org/officeDocument/2006/relationships" name="DAILY_ACCOUNT" sheetId="3" r:id="Rd5e9a59d5de54461"/>
    <x:sheet xmlns:r="http://schemas.openxmlformats.org/officeDocument/2006/relationships" name="DAILY_BRAND" sheetId="4" r:id="R62bcc19d9f2345fc"/>
    <x:sheet xmlns:r="http://schemas.openxmlformats.org/officeDocument/2006/relationships" name="COMMENT_EXECUTION" sheetId="5" r:id="R0f8c7ea144f142d3"/>
    <x:sheet xmlns:r="http://schemas.openxmlformats.org/officeDocument/2006/relationships" name="COMMENT_RECHECK" sheetId="6" r:id="R08bee9e594c8434a"/>
    <x:sheet xmlns:r="http://schemas.openxmlformats.org/officeDocument/2006/relationships" name="EVIDENCE_INDEX" sheetId="7" r:id="Rc8d714c384bf484f"/>
    <x:sheet xmlns:r="http://schemas.openxmlformats.org/officeDocument/2006/relationships" name="COMPLETENESS_CHECK" sheetId="8" r:id="R50817ccae9a14147"/>
    <x:sheet xmlns:r="http://schemas.openxmlformats.org/officeDocument/2006/relationships" name="PRODUCT_BANK" sheetId="9" r:id="Rf1d8cabcb29e4cc3"/>
    <x:sheet xmlns:r="http://schemas.openxmlformats.org/officeDocument/2006/relationships" name="KEYWORD_BANK" sheetId="10" r:id="R96a2962168234e93"/>
    <x:sheet xmlns:r="http://schemas.openxmlformats.org/officeDocument/2006/relationships" name="COMMENT_ANGLE_BANK" sheetId="11" r:id="R6fa24f0fc4f7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7324D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8FB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19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7324D"/>
      </x:font>
      <x:fill>
        <x:patternFill>
          <x:bgColor rgb="FFD9EAF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16114770a4e5d" /><Relationship Type="http://schemas.openxmlformats.org/officeDocument/2006/relationships/theme" Target="/xl/theme/theme1.xml" Id="Rd3563fbfd0a44166" /><Relationship Type="http://schemas.openxmlformats.org/officeDocument/2006/relationships/sharedStrings" Target="/xl/sharedStrings.xml" Id="R4d83f07a14c245ec" /><Relationship Type="http://schemas.openxmlformats.org/officeDocument/2006/relationships/worksheet" Target="/xl/worksheets/sheet1.xml" Id="Rcb524da11c0248f0" /><Relationship Type="http://schemas.openxmlformats.org/officeDocument/2006/relationships/worksheet" Target="/xl/worksheets/sheet2.xml" Id="R51503f4ba1c44f49" /><Relationship Type="http://schemas.openxmlformats.org/officeDocument/2006/relationships/worksheet" Target="/xl/worksheets/sheet3.xml" Id="Rd5e9a59d5de54461" /><Relationship Type="http://schemas.openxmlformats.org/officeDocument/2006/relationships/worksheet" Target="/xl/worksheets/sheet4.xml" Id="R62bcc19d9f2345fc" /><Relationship Type="http://schemas.openxmlformats.org/officeDocument/2006/relationships/worksheet" Target="/xl/worksheets/sheet5.xml" Id="R0f8c7ea144f142d3" /><Relationship Type="http://schemas.openxmlformats.org/officeDocument/2006/relationships/worksheet" Target="/xl/worksheets/sheet6.xml" Id="R08bee9e594c8434a" /><Relationship Type="http://schemas.openxmlformats.org/officeDocument/2006/relationships/worksheet" Target="/xl/worksheets/sheet7.xml" Id="Rc8d714c384bf484f" /><Relationship Type="http://schemas.openxmlformats.org/officeDocument/2006/relationships/worksheet" Target="/xl/worksheets/sheet8.xml" Id="R50817ccae9a14147" /><Relationship Type="http://schemas.openxmlformats.org/officeDocument/2006/relationships/worksheet" Target="/xl/worksheets/sheet9.xml" Id="Rf1d8cabcb29e4cc3" /><Relationship Type="http://schemas.openxmlformats.org/officeDocument/2006/relationships/worksheet" Target="/xl/worksheets/sheet10.xml" Id="R96a2962168234e93" /><Relationship Type="http://schemas.openxmlformats.org/officeDocument/2006/relationships/worksheet" Target="/xl/worksheets/sheet11.xml" Id="R6fa24f0fc4f74521" /></Relationships>
</file>

<file path=xl/tables/table1.xml><?xml version="1.0" encoding="utf-8"?>
<x:table xmlns:x="http://schemas.openxmlformats.org/spreadsheetml/2006/main" id="1" name="CandidateReadmeTable" displayName="CandidateReadmeTable" ref="A4:E30" headerRowCount="1" totalsRowCount="0" totalsRowShown="0">
  <x:autoFilter ref="A4:E30"/>
  <x:tableColumns count="5">
    <x:tableColumn id="1" name="Sheet"/>
    <x:tableColumn id="2" name="Use For"/>
    <x:tableColumn id="3" name="Who Uses It"/>
    <x:tableColumn id="4" name="Update Timing"/>
    <x:tableColumn id="5" name="Current Ru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RoadmapTable" displayName="CandidateRoadmapTable" ref="A4:F14" headerRowCount="1" totalsRowCount="0" totalsRowShown="0">
  <x:autoFilter ref="A4:F14"/>
  <x:tableColumns count="6">
    <x:tableColumn id="1" name="System Area"/>
    <x:tableColumn id="2" name="Readiness"/>
    <x:tableColumn id="3" name="Current Evidence"/>
    <x:tableColumn id="4" name="What Is Working"/>
    <x:tableColumn id="5" name="Remaining Gap"/>
    <x:tableColumn id="6" name="Next Ac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DailyAccount" displayName="CandidateDailyAccount" ref="A4:AP43" headerRowCount="1" totalsRowCount="0" totalsRowShown="0">
  <x:autoFilter ref="A4:AP43"/>
  <x:tableColumns count="42">
    <x:tableColumn id="1" name="Date"/>
    <x:tableColumn id="2" name="Capture Time"/>
    <x:tableColumn id="3" name="Comment Account"/>
    <x:tableColumn id="4" name="Account Group"/>
    <x:tableColumn id="5" name="Account Action Status"/>
    <x:tableColumn id="6" name="Comment Count Today"/>
    <x:tableColumn id="7" name="Visible Comment Count Today"/>
    <x:tableColumn id="8" name="Reply Count Today"/>
    <x:tableColumn id="9" name="Followers"/>
    <x:tableColumn id="10" name="Following"/>
    <x:tableColumn id="11" name="Likes"/>
    <x:tableColumn id="12" name="Video Count"/>
    <x:tableColumn id="13" name="Profile Views Count"/>
    <x:tableColumn id="14" name="Visible Viewer Count"/>
    <x:tableColumn id="15" name="New Viewer List"/>
    <x:tableColumn id="16" name="Viewer List Completeness"/>
    <x:tableColumn id="17" name="New Followers Count"/>
    <x:tableColumn id="18" name="New Follower List"/>
    <x:tableColumn id="19" name="Follower List Completeness"/>
    <x:tableColumn id="20" name="Any Like/Follow/Reply"/>
    <x:tableColumn id="21" name="Any Profile Edit/Video Post"/>
    <x:tableColumn id="22" name="Risk Notes"/>
    <x:tableColumn id="23" name="Evidence Group ID"/>
    <x:tableColumn id="24" name="Data Owner"/>
    <x:tableColumn id="25" name="QC Status"/>
    <x:tableColumn id="26" name="Notes"/>
    <x:tableColumn id="27" name="Test Group"/>
    <x:tableColumn id="28" name="Cart Status"/>
    <x:tableColumn id="29" name="Avatar Type"/>
    <x:tableColumn id="30" name="Bio Text"/>
    <x:tableColumn id="31" name="Bio Contains Brand"/>
    <x:tableColumn id="32" name="Profile Screenshot Path"/>
    <x:tableColumn id="33" name="Decoration Status"/>
    <x:tableColumn id="34" name="Public Video Count"/>
    <x:tableColumn id="35" name="Pinned Video Count"/>
    <x:tableColumn id="36" name="New Video Count Today"/>
    <x:tableColumn id="37" name="Product Clicks From Comment Account"/>
    <x:tableColumn id="38" name="Add to Cart From Comment Account"/>
    <x:tableColumn id="39" name="Orders From Comment Account"/>
    <x:tableColumn id="40" name="Cart Data Available"/>
    <x:tableColumn id="41" name="Import Batch ID"/>
    <x:tableColumn id="42" name="Reconcilia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ndidateDailyBrand" displayName="CandidateDailyBrand" ref="A4:AE8" headerRowCount="1" totalsRowCount="0" totalsRowShown="0">
  <x:autoFilter ref="A4:AE8"/>
  <x:tableColumns count="31">
    <x:tableColumn id="1" name="Date"/>
    <x:tableColumn id="2" name="Capture Time"/>
    <x:tableColumn id="3" name="Brand Account"/>
    <x:tableColumn id="4" name="Brand Account Action Status"/>
    <x:tableColumn id="5" name="Followers"/>
    <x:tableColumn id="6" name="Likes"/>
    <x:tableColumn id="7" name="Video Count"/>
    <x:tableColumn id="8" name="Profile Views"/>
    <x:tableColumn id="9" name="Visible Visitor Count"/>
    <x:tableColumn id="10" name="New Visitor List"/>
    <x:tableColumn id="11" name="Visitor List Completeness"/>
    <x:tableColumn id="12" name="New Followers Count"/>
    <x:tableColumn id="13" name="New Follower List"/>
    <x:tableColumn id="14" name="Follower List Completeness"/>
    <x:tableColumn id="15" name="Shop Visits"/>
    <x:tableColumn id="16" name="Product Impressions"/>
    <x:tableColumn id="17" name="Product Clicks"/>
    <x:tableColumn id="18" name="Add to Cart"/>
    <x:tableColumn id="19" name="Orders"/>
    <x:tableColumn id="20" name="GMV"/>
    <x:tableColumn id="21" name="Top Product"/>
    <x:tableColumn id="22" name="Brand Organic Activity"/>
    <x:tableColumn id="23" name="Live Activity"/>
    <x:tableColumn id="24" name="Paid Traffic Activity"/>
    <x:tableColumn id="25" name="Viral Video Note"/>
    <x:tableColumn id="26" name="Evidence Group ID"/>
    <x:tableColumn id="27" name="Data Owner"/>
    <x:tableColumn id="28" name="QC Status"/>
    <x:tableColumn id="29" name="Notes"/>
    <x:tableColumn id="30" name="Import Batch ID"/>
    <x:tableColumn id="31" name="Reconciliat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ndidateExecution" displayName="CandidateExecution" ref="A4:BK104" headerRowCount="1" totalsRowCount="0" totalsRowShown="0">
  <x:autoFilter ref="A4:BK104"/>
  <x:tableColumns count="63">
    <x:tableColumn id="1" name="Date"/>
    <x:tableColumn id="2" name="Comment ID"/>
    <x:tableColumn id="3" name="Comment Account"/>
    <x:tableColumn id="4" name="Account Display Name"/>
    <x:tableColumn id="5" name="Post Time"/>
    <x:tableColumn id="6" name="Target Creator"/>
    <x:tableColumn id="7" name="Creator Category"/>
    <x:tableColumn id="8" name="Target Video URL"/>
    <x:tableColumn id="9" name="Video Topic"/>
    <x:tableColumn id="10" name="Video Publish Time"/>
    <x:tableColumn id="11" name="Video Views At Posting"/>
    <x:tableColumn id="12" name="Video Likes At Posting"/>
    <x:tableColumn id="13" name="Comment Placement"/>
    <x:tableColumn id="14" name="Reply Target"/>
    <x:tableColumn id="15" name="Comment Text"/>
    <x:tableColumn id="16" name="Image Asset ID"/>
    <x:tableColumn id="17" name="Image Description"/>
    <x:tableColumn id="18" name="Context Before Our Comment"/>
    <x:tableColumn id="19" name="Context After Our Comment"/>
    <x:tableColumn id="20" name="Send Status"/>
    <x:tableColumn id="21" name="24h Visibility"/>
    <x:tableColumn id="22" name="Raw Reply Count"/>
    <x:tableColumn id="23" name="Raw Reply Text / Preview"/>
    <x:tableColumn id="24" name="Self Reply Count"/>
    <x:tableColumn id="25" name="Evidence ID"/>
    <x:tableColumn id="26" name="Notes"/>
    <x:tableColumn id="27" name="Test Group"/>
    <x:tableColumn id="28" name="Cart Status"/>
    <x:tableColumn id="29" name="Avatar Type"/>
    <x:tableColumn id="30" name="Target Country"/>
    <x:tableColumn id="31" name="Creator Is Thai"/>
    <x:tableColumn id="32" name="Video Type Standard"/>
    <x:tableColumn id="33" name="Comment Library ID"/>
    <x:tableColumn id="34" name="Comment Language"/>
    <x:tableColumn id="35" name="Comment Type Standard"/>
    <x:tableColumn id="36" name="Image Type Standard"/>
    <x:tableColumn id="37" name="Image Raw Path"/>
    <x:tableColumn id="38" name="Image Shared Path"/>
    <x:tableColumn id="39" name="Image File Returned"/>
    <x:tableColumn id="40" name="AI Image Analysis Status"/>
    <x:tableColumn id="41" name="User Reply Mark (Legacy)"/>
    <x:tableColumn id="42" name="User Purchase Intent Mark"/>
    <x:tableColumn id="43" name="Follow-up Status"/>
    <x:tableColumn id="44" name="Image Fit To Context"/>
    <x:tableColumn id="45" name="Reply Owner Type"/>
    <x:tableColumn id="46" name="Account Instance ID"/>
    <x:tableColumn id="47" name="Account Username"/>
    <x:tableColumn id="48" name="Device ID"/>
    <x:tableColumn id="49" name="Task ID"/>
    <x:tableColumn id="50" name="Attempt ID"/>
    <x:tableColumn id="51" name="Posting Method"/>
    <x:tableColumn id="52" name="Attempt Start Time"/>
    <x:tableColumn id="53" name="Attempt End Time"/>
    <x:tableColumn id="54" name="Session Valid"/>
    <x:tableColumn id="55" name="Post Confirmed"/>
    <x:tableColumn id="56" name="Failure Code"/>
    <x:tableColumn id="57" name="Failure Reason"/>
    <x:tableColumn id="58" name="CAPTCHA Detected"/>
    <x:tableColumn id="59" name="Reauth Required"/>
    <x:tableColumn id="60" name="Retry Count"/>
    <x:tableColumn id="61" name="Latest Verify Timepoint"/>
    <x:tableColumn id="62" name="Verified User Reply Status"/>
    <x:tableColumn id="63" name="QC Exception Flag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ndidateRecheck" displayName="CandidateRecheck" ref="A4:Y204" headerRowCount="1" totalsRowCount="0" totalsRowShown="0">
  <x:autoFilter ref="A4:Y204"/>
  <x:tableColumns count="25">
    <x:tableColumn id="1" name="Recheck Date"/>
    <x:tableColumn id="2" name="Recheck Time"/>
    <x:tableColumn id="3" name="Original Date"/>
    <x:tableColumn id="4" name="Comment ID"/>
    <x:tableColumn id="5" name="Comment Account"/>
    <x:tableColumn id="6" name="Target Video URL"/>
    <x:tableColumn id="7" name="Target Creator"/>
    <x:tableColumn id="8" name="Original 24h Visibility"/>
    <x:tableColumn id="9" name="Recheck Result"/>
    <x:tableColumn id="10" name="Evidence ID"/>
    <x:tableColumn id="11" name="Recheck Note"/>
    <x:tableColumn id="12" name="Action Required"/>
    <x:tableColumn id="13" name="QC Status"/>
    <x:tableColumn id="14" name="Original Comment Text"/>
    <x:tableColumn id="15" name="Matched Comment Text"/>
    <x:tableColumn id="16" name="Matched Reply Count"/>
    <x:tableColumn id="17" name="Matched Reply Preview"/>
    <x:tableColumn id="18" name="Matched Reply Owner Type"/>
    <x:tableColumn id="19" name="Verification Timepoint"/>
    <x:tableColumn id="20" name="Verified User Reply Status"/>
    <x:tableColumn id="21" name="Import Batch ID"/>
    <x:tableColumn id="22" name="Lookup Key"/>
    <x:tableColumn id="23" name="Lookup Result"/>
    <x:tableColumn id="24" name="Lookup Reply Owner"/>
    <x:tableColumn id="25" name="Lookup Verified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ndidateEvidence" displayName="CandidateEvidence" ref="A4:Q148" headerRowCount="1" totalsRowCount="0" totalsRowShown="0">
  <x:autoFilter ref="A4:Q148"/>
  <x:tableColumns count="17">
    <x:tableColumn id="1" name="Evidence ID"/>
    <x:tableColumn id="2" name="Evidence Group ID"/>
    <x:tableColumn id="3" name="Date"/>
    <x:tableColumn id="4" name="Entity Type"/>
    <x:tableColumn id="5" name="Entity Reference"/>
    <x:tableColumn id="6" name="Capture Type"/>
    <x:tableColumn id="7" name="Timepoint"/>
    <x:tableColumn id="8" name="Capture Time"/>
    <x:tableColumn id="9" name="Raw Path"/>
    <x:tableColumn id="10" name="Compressed Path"/>
    <x:tableColumn id="11" name="Thumbnail Path"/>
    <x:tableColumn id="12" name="Drive URL"/>
    <x:tableColumn id="13" name="Compression Status"/>
    <x:tableColumn id="14" name="Linked Sheet"/>
    <x:tableColumn id="15" name="Linked Row"/>
    <x:tableColumn id="16" name="What Screenshot Must Show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ndidateCompleteness" displayName="CandidateCompleteness" ref="A4:N8" headerRowCount="1" totalsRowCount="0" totalsRowShown="0">
  <x:autoFilter ref="A4:N8"/>
  <x:tableColumns count="14">
    <x:tableColumn id="1" name="Date"/>
    <x:tableColumn id="2" name="Entity Scope"/>
    <x:tableColumn id="3" name="Required Rows"/>
    <x:tableColumn id="4" name="Actual Rows"/>
    <x:tableColumn id="5" name="Daily Account Data Status"/>
    <x:tableColumn id="6" name="Brand Data Status"/>
    <x:tableColumn id="7" name="Shop Metrics Status"/>
    <x:tableColumn id="8" name="Comment Execution Status"/>
    <x:tableColumn id="9" name="Evidence Index Status"/>
    <x:tableColumn id="10" name="Recheck Status"/>
    <x:tableColumn id="11" name="Known Gaps"/>
    <x:tableColumn id="12" name="QC Owner"/>
    <x:tableColumn id="13" name="QC Result"/>
    <x:tableColumn id="14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ndidateProductBank" displayName="CandidateProductBank" ref="A4:AB16" headerRowCount="1" totalsRowCount="0" totalsRowShown="0">
  <x:autoFilter ref="A4:AB16"/>
  <x:tableColumns count="28">
    <x:tableColumn id="1" name="Product ID"/>
    <x:tableColumn id="2" name="Product Name TH"/>
    <x:tableColumn id="3" name="Product Name EN"/>
    <x:tableColumn id="4" name="Category"/>
    <x:tableColumn id="5" name="Subcategory"/>
    <x:tableColumn id="6" name="Primary Use Case"/>
    <x:tableColumn id="7" name="Visual Cue"/>
    <x:tableColumn id="8" name="Shirt Type Fit"/>
    <x:tableColumn id="9" name="Style Match"/>
    <x:tableColumn id="10" name="Occasion Fit"/>
    <x:tableColumn id="11" name="Key Selling Point 1"/>
    <x:tableColumn id="12" name="Key Selling Point 2"/>
    <x:tableColumn id="13" name="Key Selling Point 3"/>
    <x:tableColumn id="14" name="Material / Finish"/>
    <x:tableColumn id="15" name="Color / Variant"/>
    <x:tableColumn id="16" name="Best For Detail Area"/>
    <x:tableColumn id="17" name="Avoid Context"/>
    <x:tableColumn id="18" name="Soft Mention Safe Angle"/>
    <x:tableColumn id="19" name="Direct Sell Risk Note"/>
    <x:tableColumn id="20" name="Priority"/>
    <x:tableColumn id="21" name="Active"/>
    <x:tableColumn id="22" name="Source URL"/>
    <x:tableColumn id="23" name="Example Notes"/>
    <x:tableColumn id="24" name="Hero Product Tier"/>
    <x:tableColumn id="25" name="Priority Reason"/>
    <x:tableColumn id="26" name="Recommended Keyword Group"/>
    <x:tableColumn id="27" name="Recommended Comment Angle"/>
    <x:tableColumn id="28" name="Manager No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andidateKeywordBank" displayName="CandidateKeywordBank" ref="A4:P22" headerRowCount="1" totalsRowCount="0" totalsRowShown="0">
  <x:autoFilter ref="A4:P22"/>
  <x:tableColumns count="16">
    <x:tableColumn id="1" name="Keyword ID"/>
    <x:tableColumn id="2" name="Keyword"/>
    <x:tableColumn id="3" name="Language"/>
    <x:tableColumn id="4" name="Keyword Group"/>
    <x:tableColumn id="5" name="Search Intent"/>
    <x:tableColumn id="6" name="Related Product ID"/>
    <x:tableColumn id="7" name="Related Product Category"/>
    <x:tableColumn id="8" name="Related Style"/>
    <x:tableColumn id="9" name="Related Occasion"/>
    <x:tableColumn id="10" name="Relevance Level"/>
    <x:tableColumn id="11" name="Target Gender"/>
    <x:tableColumn id="12" name="Use For Shortlist"/>
    <x:tableColumn id="13" name="Avoid If"/>
    <x:tableColumn id="14" name="Platform Note"/>
    <x:tableColumn id="15" name="Status"/>
    <x:tableColumn id="16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ndidateAngleBank" displayName="CandidateAngleBank" ref="A4:U14" headerRowCount="1" totalsRowCount="0" totalsRowShown="0">
  <x:autoFilter ref="A4:U14"/>
  <x:tableColumns count="21">
    <x:tableColumn id="1" name="Angle ID"/>
    <x:tableColumn id="2" name="Angle Name"/>
    <x:tableColumn id="3" name="Message Type"/>
    <x:tableColumn id="4" name="Intent"/>
    <x:tableColumn id="5" name="Best For Video Group"/>
    <x:tableColumn id="6" name="Best For Style"/>
    <x:tableColumn id="7" name="Best For Product ID"/>
    <x:tableColumn id="8" name="Best For Product Fit"/>
    <x:tableColumn id="9" name="Trigger Condition"/>
    <x:tableColumn id="10" name="Comment Structure"/>
    <x:tableColumn id="11" name="Safe Example TH"/>
    <x:tableColumn id="12" name="Soft Mention Allowed"/>
    <x:tableColumn id="13" name="Image Recommended"/>
    <x:tableColumn id="14" name="Risk Level"/>
    <x:tableColumn id="15" name="Avoid When"/>
    <x:tableColumn id="16" name="Approval Needed"/>
    <x:tableColumn id="17" name="Active"/>
    <x:tableColumn id="18" name="Notes"/>
    <x:tableColumn id="19" name="Product-Specific Example TH"/>
    <x:tableColumn id="20" name="Reply / Lead Example TH"/>
    <x:tableColumn id="21" name="Image Us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253585588349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a9b914c03340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2aadc7079b47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e4ef9054b94a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de43e23739445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72bfcf9bd8344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acffac387184d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bcc75c90dab41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13695cc454e44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1b3fbfba6d14e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ebbed7598ee4d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14" hidden="0" customWidth="1"/>
    <x:col min="5" max="5" width="30" hidden="0" customWidth="1"/>
  </x:cols>
  <x:sheetData>
    <x:row r="1" ht="28" customHeight="1">
      <x:c r="A1" s="37" t="str">
        <x:v>Fashion Button TikTok Engagement Interview Master - SANITIZED</x:v>
      </x:c>
      <x:c r="B1" s="37"/>
      <x:c r="C1" s="37"/>
      <x:c r="D1" s="37"/>
      <x:c r="E1" s="37"/>
    </x:row>
    <x:row r="2" ht="24" customHeight="1">
      <x:c r="A2" s="6" t="str">
        <x:v>Near-production synthetic replica for a fashion-button engagement workflow. No production records, credentials, real URLs, or real evidence.</x:v>
      </x:c>
      <x:c r="B2" s="6"/>
      <x:c r="C2" s="6"/>
      <x:c r="D2" s="6"/>
      <x:c r="E2" s="6"/>
    </x:row>
    <x:row r="3">
      <x:c r="A3" s="38"/>
      <x:c r="B3" s="38"/>
      <x:c r="C3" s="38"/>
      <x:c r="D3" s="38"/>
      <x:c r="E3" s="38"/>
    </x:row>
    <x:row r="4" ht="42" customHeight="1">
      <x:c r="A4" s="15" t="str">
        <x:v>Sheet</x:v>
      </x:c>
      <x:c r="B4" s="16" t="str">
        <x:v>Use For</x:v>
      </x:c>
      <x:c r="C4" s="16" t="str">
        <x:v>Who Uses It</x:v>
      </x:c>
      <x:c r="D4" s="16" t="str">
        <x:v>Update Timing</x:v>
      </x:c>
      <x:c r="E4" s="17" t="str">
        <x:v>Current Rule</x:v>
      </x:c>
    </x:row>
    <x:row r="5">
      <x:c r="A5" s="39" t="str">
        <x:v>README_START_HERE</x:v>
      </x:c>
      <x:c r="B5" s="40" t="str">
        <x:v>Package navigation and safety rules</x:v>
      </x:c>
      <x:c r="C5" s="40" t="str">
        <x:v>Candidate / Interviewer</x:v>
      </x:c>
      <x:c r="D5" s="40" t="str">
        <x:v>Start and closeout</x:v>
      </x:c>
      <x:c r="E5" s="41" t="str">
        <x:v>Open Codex only in candidate_workspace</x:v>
      </x:c>
    </x:row>
    <x:row r="6">
      <x:c r="A6" s="42" t="str">
        <x:v>DAILY_ACCOUNT</x:v>
      </x:c>
      <x:c r="B6" s="43" t="str">
        <x:v>Import and reconcile 10 account slots per day</x:v>
      </x:c>
      <x:c r="C6" s="43" t="str">
        <x:v>Core</x:v>
      </x:c>
      <x:c r="D6" s="43" t="str">
        <x:v>Daily</x:v>
      </x:c>
      <x:c r="E6" s="44" t="str">
        <x:v>10 rows per day</x:v>
      </x:c>
    </x:row>
    <x:row r="7">
      <x:c r="A7" s="42" t="str">
        <x:v>DAILY_BRAND</x:v>
      </x:c>
      <x:c r="B7" s="43" t="str">
        <x:v>Import brand and shop snapshot</x:v>
      </x:c>
      <x:c r="C7" s="43" t="str">
        <x:v>Core</x:v>
      </x:c>
      <x:c r="D7" s="43" t="str">
        <x:v>Daily</x:v>
      </x:c>
      <x:c r="E7" s="44" t="str">
        <x:v>Reconcile to input</x:v>
      </x:c>
    </x:row>
    <x:row r="8">
      <x:c r="A8" s="42" t="str">
        <x:v>COMMENT_EXECUTION</x:v>
      </x:c>
      <x:c r="B8" s="43" t="str">
        <x:v>Execution plan and latest verify roll-up</x:v>
      </x:c>
      <x:c r="C8" s="43" t="str">
        <x:v>Core</x:v>
      </x:c>
      <x:c r="D8" s="43" t="str">
        <x:v>Per comment</x:v>
      </x:c>
      <x:c r="E8" s="44" t="str">
        <x:v>100 synthetic rows</x:v>
      </x:c>
    </x:row>
    <x:row r="9">
      <x:c r="A9" s="42" t="str">
        <x:v>COMMENT_RECHECK</x:v>
      </x:c>
      <x:c r="B9" s="43" t="str">
        <x:v>30m/24h verification source</x:v>
      </x:c>
      <x:c r="C9" s="43" t="str">
        <x:v>Core</x:v>
      </x:c>
      <x:c r="D9" s="43" t="str">
        <x:v>Two timepoints</x:v>
      </x:c>
      <x:c r="E9" s="44" t="str">
        <x:v>Use 24h as latest target</x:v>
      </x:c>
    </x:row>
    <x:row r="10">
      <x:c r="A10" s="42" t="str">
        <x:v>EVIDENCE_INDEX</x:v>
      </x:c>
      <x:c r="B10" s="43" t="str">
        <x:v>Synthetic evidence references</x:v>
      </x:c>
      <x:c r="C10" s="43" t="str">
        <x:v>Core</x:v>
      </x:c>
      <x:c r="D10" s="43" t="str">
        <x:v>As captured</x:v>
      </x:c>
      <x:c r="E10" s="44" t="str">
        <x:v>Relative paths only</x:v>
      </x:c>
    </x:row>
    <x:row r="11">
      <x:c r="A11" s="42" t="str">
        <x:v>COMPLETENESS_CHECK</x:v>
      </x:c>
      <x:c r="B11" s="43" t="str">
        <x:v>Closeout and reconciliation</x:v>
      </x:c>
      <x:c r="C11" s="43" t="str">
        <x:v>Core</x:v>
      </x:c>
      <x:c r="D11" s="43" t="str">
        <x:v>End of exercise</x:v>
      </x:c>
      <x:c r="E11" s="44" t="str">
        <x:v>Resolve or document gaps</x:v>
      </x:c>
    </x:row>
    <x:row r="12">
      <x:c r="A12" s="42" t="str">
        <x:v>PRODUCT_BANK</x:v>
      </x:c>
      <x:c r="B12" s="43" t="str">
        <x:v>Synthetic product matching bank</x:v>
      </x:c>
      <x:c r="C12" s="43" t="str">
        <x:v>Advanced</x:v>
      </x:c>
      <x:c r="D12" s="43" t="str">
        <x:v>As needed</x:v>
      </x:c>
      <x:c r="E12" s="44" t="str">
        <x:v>No real catalog data</x:v>
      </x:c>
    </x:row>
    <x:row r="13">
      <x:c r="A13" s="42" t="str">
        <x:v>KEYWORD_BANK</x:v>
      </x:c>
      <x:c r="B13" s="43" t="str">
        <x:v>Synthetic keyword bank</x:v>
      </x:c>
      <x:c r="C13" s="43" t="str">
        <x:v>Advanced</x:v>
      </x:c>
      <x:c r="D13" s="43" t="str">
        <x:v>As needed</x:v>
      </x:c>
      <x:c r="E13" s="44" t="str">
        <x:v>No real search data</x:v>
      </x:c>
    </x:row>
    <x:row r="14">
      <x:c r="A14" s="42" t="str">
        <x:v>COMMENT_ANGLE_BANK</x:v>
      </x:c>
      <x:c r="B14" s="43" t="str">
        <x:v>Synthetic angle rules</x:v>
      </x:c>
      <x:c r="C14" s="43" t="str">
        <x:v>Advanced</x:v>
      </x:c>
      <x:c r="D14" s="43" t="str">
        <x:v>As needed</x:v>
      </x:c>
      <x:c r="E14" s="44" t="str">
        <x:v>Use contextual safety</x:v>
      </x:c>
    </x:row>
    <x:row r="15">
      <x:c r="A15" s="42" t="str">
        <x:v>SYSTEM_PROGRESS_ROADMAP</x:v>
      </x:c>
      <x:c r="B15" s="43" t="str">
        <x:v>Preflight, progress, targeted sync plan</x:v>
      </x:c>
      <x:c r="C15" s="43" t="str">
        <x:v>Core + Advanced</x:v>
      </x:c>
      <x:c r="D15" s="43" t="str">
        <x:v>During handoff</x:v>
      </x:c>
      <x:c r="E15" s="44" t="str">
        <x:v>Simulation only</x:v>
      </x:c>
    </x:row>
    <x:row r="16">
      <x:c r="A16" s="42" t="str"/>
      <x:c r="B16" s="43" t="str"/>
      <x:c r="C16" s="43" t="str"/>
      <x:c r="D16" s="43" t="str"/>
      <x:c r="E16" s="44" t="str"/>
    </x:row>
    <x:row r="17">
      <x:c r="A17" s="42" t="str">
        <x:v>CORE EXERCISE</x:v>
      </x:c>
      <x:c r="B17" s="43" t="str">
        <x:v>60-90 minutes on 02/03/04/05/06/08</x:v>
      </x:c>
      <x:c r="C17" s="43" t="str">
        <x:v>Candidate</x:v>
      </x:c>
      <x:c r="D17" s="43" t="str">
        <x:v>Timed</x:v>
      </x:c>
      <x:c r="E17" s="44" t="str">
        <x:v>Correctness before polish</x:v>
      </x:c>
    </x:row>
    <x:row r="18">
      <x:c r="A18" s="42" t="str">
        <x:v>ADVANCED EXTENSION</x:v>
      </x:c>
      <x:c r="B18" s="43" t="str">
        <x:v>Trace full 11-sheet structure and propose automation</x:v>
      </x:c>
      <x:c r="C18" s="43" t="str">
        <x:v>Senior candidates</x:v>
      </x:c>
      <x:c r="D18" s="43" t="str">
        <x:v>+30-45 minutes</x:v>
      </x:c>
      <x:c r="E18" s="44" t="str">
        <x:v>Do not use Google</x:v>
      </x:c>
    </x:row>
    <x:row r="19">
      <x:c r="A19" s="42" t="str"/>
      <x:c r="B19" s="43" t="str"/>
      <x:c r="C19" s="43" t="str"/>
      <x:c r="D19" s="43" t="str"/>
      <x:c r="E19" s="44" t="str"/>
    </x:row>
    <x:row r="20">
      <x:c r="A20" s="42" t="str">
        <x:v>SAFETY</x:v>
      </x:c>
      <x:c r="B20" s="43" t="str">
        <x:v>Never overwrite the supplied file</x:v>
      </x:c>
      <x:c r="C20" s="43" t="str">
        <x:v>Candidate</x:v>
      </x:c>
      <x:c r="D20" s="43" t="str">
        <x:v>Before work</x:v>
      </x:c>
      <x:c r="E20" s="44" t="str">
        <x:v>Create a working copy inside candidate_workspace</x:v>
      </x:c>
    </x:row>
    <x:row r="21">
      <x:c r="A21" s="42" t="str">
        <x:v>CODEX AUTHORIZATION</x:v>
      </x:c>
      <x:c r="B21" s="43" t="str">
        <x:v>Codex may analyze, write scoped scripts and edit the working copy</x:v>
      </x:c>
      <x:c r="C21" s="43" t="str">
        <x:v>Candidate</x:v>
      </x:c>
      <x:c r="D21" s="43" t="str">
        <x:v>Throughout</x:v>
      </x:c>
      <x:c r="E21" s="44" t="str">
        <x:v>Human verifies every final result</x:v>
      </x:c>
    </x:row>
    <x:row r="22">
      <x:c r="A22" s="42" t="str">
        <x:v>PLAN + SAFETY INVARIANTS</x:v>
      </x:c>
      <x:c r="B22" s="43" t="str">
        <x:v>Record task decomposition, allowed writes and stop conditions</x:v>
      </x:c>
      <x:c r="C22" s="43" t="str">
        <x:v>Candidate</x:v>
      </x:c>
      <x:c r="D22" s="43" t="str">
        <x:v>Before edits</x:v>
      </x:c>
      <x:c r="E22" s="44" t="str">
        <x:v>Diagnose before implement</x:v>
      </x:c>
    </x:row>
    <x:row r="23">
      <x:c r="A23" s="42" t="str">
        <x:v>PROMPT / DECISION LOG</x:v>
      </x:c>
      <x:c r="B23" s="43" t="str">
        <x:v>Request | Why | Result | Verification</x:v>
      </x:c>
      <x:c r="C23" s="43" t="str">
        <x:v>Candidate</x:v>
      </x:c>
      <x:c r="D23" s="43" t="str">
        <x:v>Throughout</x:v>
      </x:c>
      <x:c r="E23" s="44" t="str">
        <x:v>Judge control, not prompt length</x:v>
      </x:c>
    </x:row>
    <x:row r="24">
      <x:c r="A24" s="42" t="str">
        <x:v>QA EVIDENCE</x:v>
      </x:c>
      <x:c r="B24" s="43" t="str">
        <x:v>Commands/read-back/render/tests used</x:v>
      </x:c>
      <x:c r="C24" s="43" t="str">
        <x:v>Candidate</x:v>
      </x:c>
      <x:c r="D24" s="43" t="str">
        <x:v>After each change</x:v>
      </x:c>
      <x:c r="E24" s="44" t="str">
        <x:v>Check rows, formulas and IDs</x:v>
      </x:c>
    </x:row>
    <x:row r="25">
      <x:c r="A25" s="42" t="str">
        <x:v>REJECTED AI SUGGESTIONS</x:v>
      </x:c>
      <x:c r="B25" s="43" t="str">
        <x:v>Record Codex proposals declined or corrected</x:v>
      </x:c>
      <x:c r="C25" s="43" t="str">
        <x:v>Candidate</x:v>
      </x:c>
      <x:c r="D25" s="43" t="str">
        <x:v>As needed</x:v>
      </x:c>
      <x:c r="E25" s="44" t="str">
        <x:v>Explain evidence and scope reason</x:v>
      </x:c>
    </x:row>
    <x:row r="26">
      <x:c r="A26" s="42" t="str">
        <x:v>CHECKSUM BEFORE</x:v>
      </x:c>
      <x:c r="B26" s="43" t="str">
        <x:v>Record SHA256 of supplied test file</x:v>
      </x:c>
      <x:c r="C26" s="43" t="str">
        <x:v>Candidate</x:v>
      </x:c>
      <x:c r="D26" s="43" t="str">
        <x:v>Before edits</x:v>
      </x:c>
      <x:c r="E26" s="44" t="str">
        <x:v>Enter in handoff</x:v>
      </x:c>
    </x:row>
    <x:row r="27">
      <x:c r="A27" s="42" t="str">
        <x:v>CHECKSUM AFTER</x:v>
      </x:c>
      <x:c r="B27" s="43" t="str">
        <x:v>Record SHA256 of submitted working copy</x:v>
      </x:c>
      <x:c r="C27" s="43" t="str">
        <x:v>Candidate</x:v>
      </x:c>
      <x:c r="D27" s="43" t="str">
        <x:v>After edits</x:v>
      </x:c>
      <x:c r="E27" s="44" t="str">
        <x:v>Must differ if file changed</x:v>
      </x:c>
    </x:row>
    <x:row r="28">
      <x:c r="A28" s="42" t="str">
        <x:v>GOOGLE SYNC</x:v>
      </x:c>
      <x:c r="B28" s="43" t="str">
        <x:v>Describe targeted sync only</x:v>
      </x:c>
      <x:c r="C28" s="43" t="str">
        <x:v>Candidate</x:v>
      </x:c>
      <x:c r="D28" s="43" t="str">
        <x:v>Handoff</x:v>
      </x:c>
      <x:c r="E28" s="44" t="str">
        <x:v>No real Google write</x:v>
      </x:c>
    </x:row>
    <x:row r="29">
      <x:c r="A29" s="42" t="str"/>
      <x:c r="B29" s="43" t="str"/>
      <x:c r="C29" s="43" t="str"/>
      <x:c r="D29" s="43" t="str"/>
      <x:c r="E29" s="44" t="str"/>
    </x:row>
    <x:row r="30">
      <x:c r="A30" s="45" t="str">
        <x:v>CHANGE LOG TEMPLATE</x:v>
      </x:c>
      <x:c r="B30" s="46" t="str">
        <x:v>Timestamp | File/Sheet/Range | Before | After | Reason | QA</x:v>
      </x:c>
      <x:c r="C30" s="46" t="str">
        <x:v>Candidate</x:v>
      </x:c>
      <x:c r="D30" s="46" t="str">
        <x:v>As changes occur</x:v>
      </x:c>
      <x:c r="E30" s="47" t="str">
        <x:v>Submit separately or append below</x:v>
      </x:c>
    </x:row>
    <x:row r="31">
      <x:c r="A31" s="38"/>
      <x:c r="B31" s="38"/>
      <x:c r="C31" s="38"/>
      <x:c r="D31" s="38"/>
      <x:c r="E31" s="38"/>
    </x:row>
    <x:row r="32">
      <x:c r="A32" s="38"/>
      <x:c r="B32" s="38"/>
      <x:c r="C32" s="38"/>
      <x:c r="D32" s="38"/>
      <x:c r="E32" s="38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5253585588349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28" customHeight="1">
      <x:c r="A1" s="37" t="str">
        <x:v>System Progress Roadmap</x:v>
      </x:c>
      <x:c r="B1" s="37"/>
      <x:c r="C1" s="37"/>
      <x:c r="D1" s="37"/>
      <x:c r="E1" s="37"/>
      <x:c r="F1" s="37"/>
    </x:row>
    <x:row r="2" ht="24" customHeight="1">
      <x:c r="A2" s="6" t="str">
        <x:v>Operational sequence for a synthetic fashion-button TikTok comment and verification simulation. External sync is prohibited.</x:v>
      </x:c>
      <x:c r="B2" s="6"/>
      <x:c r="C2" s="6"/>
      <x:c r="D2" s="6"/>
      <x:c r="E2" s="6"/>
      <x:c r="F2" s="6"/>
    </x:row>
    <x:row r="3">
      <x:c r="A3" s="38"/>
      <x:c r="B3" s="38"/>
      <x:c r="C3" s="38"/>
      <x:c r="D3" s="38"/>
      <x:c r="E3" s="38"/>
      <x:c r="F3" s="38"/>
    </x:row>
    <x:row r="4" ht="42" customHeight="1">
      <x:c r="A4" s="15" t="str">
        <x:v>System Area</x:v>
      </x:c>
      <x:c r="B4" s="16" t="str">
        <x:v>Readiness</x:v>
      </x:c>
      <x:c r="C4" s="16" t="str">
        <x:v>Current Evidence</x:v>
      </x:c>
      <x:c r="D4" s="16" t="str">
        <x:v>What Is Working</x:v>
      </x:c>
      <x:c r="E4" s="16" t="str">
        <x:v>Remaining Gap</x:v>
      </x:c>
      <x:c r="F4" s="17" t="str">
        <x:v>Next Action</x:v>
      </x:c>
    </x:row>
    <x:row r="5">
      <x:c r="A5" s="39" t="str">
        <x:v>Windows / Safe Preflight</x:v>
      </x:c>
      <x:c r="B5" s="40" t="str">
        <x:v>Candidate Action</x:v>
      </x:c>
      <x:c r="C5" s="40" t="str">
        <x:v>Working copy and checksum</x:v>
      </x:c>
      <x:c r="D5" s="40" t="str">
        <x:v>Read-only source preserved</x:v>
      </x:c>
      <x:c r="E5" s="40" t="str">
        <x:v>Record hashes</x:v>
      </x:c>
      <x:c r="F5" s="41" t="str">
        <x:v>Document preflight</x:v>
      </x:c>
    </x:row>
    <x:row r="6">
      <x:c r="A6" s="42" t="str">
        <x:v>Daily Account Import</x:v>
      </x:c>
      <x:c r="B6" s="43" t="str">
        <x:v>Review</x:v>
      </x:c>
      <x:c r="C6" s="43" t="str">
        <x:v>Synthetic input workbook</x:v>
      </x:c>
      <x:c r="D6" s="43" t="str">
        <x:v>40 expected rows</x:v>
      </x:c>
      <x:c r="E6" s="43" t="str">
        <x:v>One row missing</x:v>
      </x:c>
      <x:c r="F6" s="44" t="str">
        <x:v>Reconcile 02</x:v>
      </x:c>
    </x:row>
    <x:row r="7">
      <x:c r="A7" s="42" t="str">
        <x:v>Brand Snapshot Import</x:v>
      </x:c>
      <x:c r="B7" s="43" t="str">
        <x:v>Review</x:v>
      </x:c>
      <x:c r="C7" s="43" t="str">
        <x:v>Synthetic input workbook</x:v>
      </x:c>
      <x:c r="D7" s="43" t="str">
        <x:v>4 expected rows</x:v>
      </x:c>
      <x:c r="E7" s="43" t="str">
        <x:v>One metric mismatch</x:v>
      </x:c>
      <x:c r="F7" s="44" t="str">
        <x:v>Reconcile 03</x:v>
      </x:c>
    </x:row>
    <x:row r="8">
      <x:c r="A8" s="42" t="str">
        <x:v>Execution Plan</x:v>
      </x:c>
      <x:c r="B8" s="43" t="str">
        <x:v>Review</x:v>
      </x:c>
      <x:c r="C8" s="43" t="str">
        <x:v>100 rows</x:v>
      </x:c>
      <x:c r="D8" s="43" t="str">
        <x:v>Account slots 1-10</x:v>
      </x:c>
      <x:c r="E8" s="43" t="str">
        <x:v>Cross-sheet defects</x:v>
      </x:c>
      <x:c r="F8" s="44" t="str">
        <x:v>Validate IDs and allocation</x:v>
      </x:c>
    </x:row>
    <x:row r="9">
      <x:c r="A9" s="42" t="str">
        <x:v>30m / 24h Verify</x:v>
      </x:c>
      <x:c r="B9" s="43" t="str">
        <x:v>Review</x:v>
      </x:c>
      <x:c r="C9" s="43" t="str">
        <x:v>200 recheck rows</x:v>
      </x:c>
      <x:c r="D9" s="43" t="str">
        <x:v>Two timepoints per comment</x:v>
      </x:c>
      <x:c r="E9" s="43" t="str">
        <x:v>Roll-up defects</x:v>
      </x:c>
      <x:c r="F9" s="44" t="str">
        <x:v>Use latest target timepoint</x:v>
      </x:c>
    </x:row>
    <x:row r="10">
      <x:c r="A10" s="42" t="str">
        <x:v>Reply Classification</x:v>
      </x:c>
      <x:c r="B10" s="43" t="str">
        <x:v>Review</x:v>
      </x:c>
      <x:c r="C10" s="43" t="str">
        <x:v>Owner and evidence logic</x:v>
      </x:c>
      <x:c r="D10" s="43" t="str">
        <x:v>User / Creator / Mixed / None</x:v>
      </x:c>
      <x:c r="E10" s="43" t="str">
        <x:v>Misclassifications</x:v>
      </x:c>
      <x:c r="F10" s="44" t="str">
        <x:v>Recalculate verified status</x:v>
      </x:c>
    </x:row>
    <x:row r="11">
      <x:c r="A11" s="42" t="str">
        <x:v>Evidence Reconciliation</x:v>
      </x:c>
      <x:c r="B11" s="43" t="str">
        <x:v>Review</x:v>
      </x:c>
      <x:c r="C11" s="43" t="str">
        <x:v>Synthetic relative paths</x:v>
      </x:c>
      <x:c r="D11" s="43" t="str">
        <x:v>No Drive URLs</x:v>
      </x:c>
      <x:c r="E11" s="43" t="str">
        <x:v>One linked-row mismatch</x:v>
      </x:c>
      <x:c r="F11" s="44" t="str">
        <x:v>Repair linkage</x:v>
      </x:c>
    </x:row>
    <x:row r="12">
      <x:c r="A12" s="42" t="str">
        <x:v>Completeness Closeout</x:v>
      </x:c>
      <x:c r="B12" s="43" t="str">
        <x:v>Review</x:v>
      </x:c>
      <x:c r="C12" s="43" t="str">
        <x:v>08 checklist</x:v>
      </x:c>
      <x:c r="D12" s="43" t="str">
        <x:v>Formula-driven counts</x:v>
      </x:c>
      <x:c r="E12" s="43" t="str">
        <x:v>Summary mismatch</x:v>
      </x:c>
      <x:c r="F12" s="44" t="str">
        <x:v>Close or escalate</x:v>
      </x:c>
    </x:row>
    <x:row r="13">
      <x:c r="A13" s="42" t="str">
        <x:v>Targeted Sync Plan</x:v>
      </x:c>
      <x:c r="B13" s="43" t="str">
        <x:v>Simulation Only</x:v>
      </x:c>
      <x:c r="C13" s="43" t="str">
        <x:v>No external destination</x:v>
      </x:c>
      <x:c r="D13" s="43" t="str">
        <x:v>Range-limited plan</x:v>
      </x:c>
      <x:c r="E13" s="43" t="str">
        <x:v>Never execute</x:v>
      </x:c>
      <x:c r="F13" s="44" t="str">
        <x:v>Describe ranges and safeguards</x:v>
      </x:c>
    </x:row>
    <x:row r="14">
      <x:c r="A14" s="45" t="str">
        <x:v>Handoff Report</x:v>
      </x:c>
      <x:c r="B14" s="46" t="str">
        <x:v>Candidate Action</x:v>
      </x:c>
      <x:c r="C14" s="46" t="str">
        <x:v>KPI and issue summary</x:v>
      </x:c>
      <x:c r="D14" s="46" t="str">
        <x:v>Clear assumptions</x:v>
      </x:c>
      <x:c r="E14" s="46" t="str">
        <x:v>Attach change log</x:v>
      </x:c>
      <x:c r="F14" s="47" t="str">
        <x:v>Submit final report</x:v>
      </x:c>
    </x:row>
    <x:row r="15">
      <x:c r="A15" s="38"/>
      <x:c r="B15" s="38"/>
      <x:c r="C15" s="38"/>
      <x:c r="D15" s="38"/>
      <x:c r="E15" s="38"/>
      <x:c r="F15" s="38"/>
    </x:row>
    <x:row r="16">
      <x:c r="A16" s="38"/>
      <x:c r="B16" s="38"/>
      <x:c r="C16" s="38"/>
      <x:c r="D16" s="38"/>
      <x:c r="E16" s="38"/>
      <x:c r="F16" s="38"/>
    </x:row>
    <x:row r="17">
      <x:c r="A17" s="38"/>
      <x:c r="B17" s="38"/>
      <x:c r="C17" s="38"/>
      <x:c r="D17" s="38"/>
      <x:c r="E17" s="38"/>
      <x:c r="F17" s="38"/>
    </x:row>
    <x:row r="18">
      <x:c r="A18" s="38"/>
      <x:c r="B18" s="38"/>
      <x:c r="C18" s="38"/>
      <x:c r="D18" s="38"/>
      <x:c r="E18" s="38"/>
      <x:c r="F18" s="38"/>
    </x:row>
    <x:row r="19">
      <x:c r="A19" s="38"/>
      <x:c r="B19" s="38"/>
      <x:c r="C19" s="38"/>
      <x:c r="D19" s="38"/>
      <x:c r="E19" s="38"/>
      <x:c r="F19" s="38"/>
    </x:row>
    <x:row r="20">
      <x:c r="A20" s="38"/>
      <x:c r="B20" s="38"/>
      <x:c r="C20" s="38"/>
      <x:c r="D20" s="38"/>
      <x:c r="E20" s="38"/>
      <x:c r="F20" s="38"/>
    </x:row>
  </x:sheetData>
  <x:mergeCells>
    <x:mergeCell ref="A1:F1"/>
    <x:mergeCell ref="A2:F2"/>
  </x:mergeCells>
  <x:conditionalFormatting sqref="B5:B14">
    <x:cfRule type="containsText" dxfId="0" priority="1" operator="containsText" text="Complete"/>
    <x:cfRule type="containsText" dxfId="1" priority="2" operator="containsText" text="Review"/>
    <x:cfRule type="containsText" dxfId="2" priority="3" operator="containsText" text="Candidate Action"/>
  </x:conditionalFormatting>
  <x:pageMargins left="0.7" right="0.7" top="0.75" bottom="0.75" header="0.3" footer="0.3"/>
  <x:tableParts count="1">
    <x:tablePart xmlns:r="http://schemas.openxmlformats.org/officeDocument/2006/relationships" r:id="R13a9b914c03340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8" customHeight="1">
      <x:c r="A1" s="3" t="str">
        <x:v>02 Daily Account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4-day snapshot for Account Slot 1-10. Reconcile to the supplied import workbook.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Date</x:v>
      </x:c>
      <x:c r="B4" s="16" t="str">
        <x:v>Capture Time</x:v>
      </x:c>
      <x:c r="C4" s="16" t="str">
        <x:v>Comment Account</x:v>
      </x:c>
      <x:c r="D4" s="16" t="str">
        <x:v>Account Group</x:v>
      </x:c>
      <x:c r="E4" s="16" t="str">
        <x:v>Account Action Status</x:v>
      </x:c>
      <x:c r="F4" s="16" t="str">
        <x:v>Comment Count Today</x:v>
      </x:c>
      <x:c r="G4" s="16" t="str">
        <x:v>Visible Comment Count Today</x:v>
      </x:c>
      <x:c r="H4" s="16" t="str">
        <x:v>Reply Count Today</x:v>
      </x:c>
      <x:c r="I4" s="16" t="str">
        <x:v>Followers</x:v>
      </x:c>
      <x:c r="J4" s="16" t="str">
        <x:v>Following</x:v>
      </x:c>
      <x:c r="K4" s="16" t="str">
        <x:v>Likes</x:v>
      </x:c>
      <x:c r="L4" s="16" t="str">
        <x:v>Video Count</x:v>
      </x:c>
      <x:c r="M4" s="16" t="str">
        <x:v>Profile Views Count</x:v>
      </x:c>
      <x:c r="N4" s="16" t="str">
        <x:v>Visible Viewer Count</x:v>
      </x:c>
      <x:c r="O4" s="16" t="str">
        <x:v>New Viewer List</x:v>
      </x:c>
      <x:c r="P4" s="16" t="str">
        <x:v>Viewer List Completeness</x:v>
      </x:c>
      <x:c r="Q4" s="16" t="str">
        <x:v>New Followers Count</x:v>
      </x:c>
      <x:c r="R4" s="16" t="str">
        <x:v>New Follower List</x:v>
      </x:c>
      <x:c r="S4" s="16" t="str">
        <x:v>Follower List Completeness</x:v>
      </x:c>
      <x:c r="T4" s="16" t="str">
        <x:v>Any Like/Follow/Reply</x:v>
      </x:c>
      <x:c r="U4" s="16" t="str">
        <x:v>Any Profile Edit/Video Post</x:v>
      </x:c>
      <x:c r="V4" s="16" t="str">
        <x:v>Risk Notes</x:v>
      </x:c>
      <x:c r="W4" s="16" t="str">
        <x:v>Evidence Group ID</x:v>
      </x:c>
      <x:c r="X4" s="16" t="str">
        <x:v>Data Owner</x:v>
      </x:c>
      <x:c r="Y4" s="16" t="str">
        <x:v>QC Status</x:v>
      </x:c>
      <x:c r="Z4" s="16" t="str">
        <x:v>Notes</x:v>
      </x:c>
      <x:c r="AA4" s="16" t="str">
        <x:v>Test Group</x:v>
      </x:c>
      <x:c r="AB4" s="16" t="str">
        <x:v>Cart Status</x:v>
      </x:c>
      <x:c r="AC4" s="16" t="str">
        <x:v>Avatar Type</x:v>
      </x:c>
      <x:c r="AD4" s="16" t="str">
        <x:v>Bio Text</x:v>
      </x:c>
      <x:c r="AE4" s="16" t="str">
        <x:v>Bio Contains Brand</x:v>
      </x:c>
      <x:c r="AF4" s="16" t="str">
        <x:v>Profile Screenshot Path</x:v>
      </x:c>
      <x:c r="AG4" s="16" t="str">
        <x:v>Decoration Status</x:v>
      </x:c>
      <x:c r="AH4" s="16" t="str">
        <x:v>Public Video Count</x:v>
      </x:c>
      <x:c r="AI4" s="16" t="str">
        <x:v>Pinned Video Count</x:v>
      </x:c>
      <x:c r="AJ4" s="16" t="str">
        <x:v>New Video Count Today</x:v>
      </x:c>
      <x:c r="AK4" s="16" t="str">
        <x:v>Product Clicks From Comment Account</x:v>
      </x:c>
      <x:c r="AL4" s="16" t="str">
        <x:v>Add to Cart From Comment Account</x:v>
      </x:c>
      <x:c r="AM4" s="16" t="str">
        <x:v>Orders From Comment Account</x:v>
      </x:c>
      <x:c r="AN4" s="16" t="str">
        <x:v>Cart Data Available</x:v>
      </x:c>
      <x:c r="AO4" s="16" t="str">
        <x:v>Import Batch ID</x:v>
      </x:c>
      <x:c r="AP4" s="17" t="str">
        <x:v>Reconciliation Status</x:v>
      </x:c>
    </x:row>
    <x:row r="5">
      <x:c r="A5" s="48" t="n">
        <x:v>46224</x:v>
      </x:c>
      <x:c r="B5" s="29" t="str">
        <x:v>20:30</x:v>
      </x:c>
      <x:c r="C5" s="29" t="str">
        <x:v>Account Slot 1</x:v>
      </x:c>
      <x:c r="D5" s="29" t="str">
        <x:v>A</x:v>
      </x:c>
      <x:c r="E5" s="29" t="str">
        <x:v>Active</x:v>
      </x:c>
      <x:c r="F5" s="29" t="n">
        <x:v>3</x:v>
      </x:c>
      <x:c r="G5" s="29" t="n">
        <x:v>0</x:v>
      </x:c>
      <x:c r="H5" s="29" t="n">
        <x:v>0</x:v>
      </x:c>
      <x:c r="I5" s="29" t="n">
        <x:v>127</x:v>
      </x:c>
      <x:c r="J5" s="29" t="n">
        <x:v>81</x:v>
      </x:c>
      <x:c r="K5" s="29" t="n">
        <x:v>911</x:v>
      </x:c>
      <x:c r="L5" s="29" t="n">
        <x:v>4</x:v>
      </x:c>
      <x:c r="M5" s="29" t="n">
        <x:v>13</x:v>
      </x:c>
      <x:c r="N5" s="29" t="n">
        <x:v>3</x:v>
      </x:c>
      <x:c r="O5" s="29" t="str">
        <x:v>viewer_case_1_1</x:v>
      </x:c>
      <x:c r="P5" s="29" t="str">
        <x:v>Complete</x:v>
      </x:c>
      <x:c r="Q5" s="29" t="n">
        <x:v>1</x:v>
      </x:c>
      <x:c r="R5" s="29" t="str">
        <x:v>follower_case_1_1</x:v>
      </x:c>
      <x:c r="S5" s="29" t="str">
        <x:v>Complete</x:v>
      </x:c>
      <x:c r="T5" s="29" t="str">
        <x:v>No</x:v>
      </x:c>
      <x:c r="U5" s="29" t="str">
        <x:v>No</x:v>
      </x:c>
      <x:c r="V5" s="29" t="str"/>
      <x:c r="W5" s="29" t="str">
        <x:v>EVG-ACC-1-1</x:v>
      </x:c>
      <x:c r="X5" s="29" t="str">
        <x:v>Interview Candidate</x:v>
      </x:c>
      <x:c r="Y5" s="29" t="str">
        <x:v>Pass</x:v>
      </x:c>
      <x:c r="Z5" s="29" t="str">
        <x:v>Synthetic daily snapshot</x:v>
      </x:c>
      <x:c r="AA5" s="29" t="str">
        <x:v>Core</x:v>
      </x:c>
      <x:c r="AB5" s="29" t="str">
        <x:v>N/A</x:v>
      </x:c>
      <x:c r="AC5" s="29" t="str">
        <x:v>Neutral</x:v>
      </x:c>
      <x:c r="AD5" s="29" t="str">
        <x:v>Synthetic bio 1</x:v>
      </x:c>
      <x:c r="AE5" s="29" t="str">
        <x:v>No</x:v>
      </x:c>
      <x:c r="AF5" s="29" t="str">
        <x:v>interview_assets/profile/slot_1.png</x:v>
      </x:c>
      <x:c r="AG5" s="29" t="str">
        <x:v>Complete</x:v>
      </x:c>
      <x:c r="AH5" s="29" t="n">
        <x:v>4</x:v>
      </x:c>
      <x:c r="AI5" s="29" t="n">
        <x:v>1</x:v>
      </x:c>
      <x:c r="AJ5" s="29" t="n">
        <x:v>0</x:v>
      </x:c>
      <x:c r="AK5" s="29" t="n">
        <x:v>1</x:v>
      </x:c>
      <x:c r="AL5" s="29" t="n">
        <x:v>1</x:v>
      </x:c>
      <x:c r="AM5" s="29" t="n">
        <x:v>1</x:v>
      </x:c>
      <x:c r="AN5" s="29" t="str">
        <x:v>Yes</x:v>
      </x:c>
      <x:c r="AO5" s="29" t="str">
        <x:v>BATCH-ACC-D1</x:v>
      </x:c>
      <x:c r="AP5" s="30" t="str">
        <x:v>Matched</x:v>
      </x:c>
    </x:row>
    <x:row r="6">
      <x:c r="A6" s="49" t="n">
        <x:v>46224</x:v>
      </x:c>
      <x:c r="B6" s="32" t="str">
        <x:v>20:30</x:v>
      </x:c>
      <x:c r="C6" s="32" t="str">
        <x:v>Account Slot 2</x:v>
      </x:c>
      <x:c r="D6" s="32" t="str">
        <x:v>A</x:v>
      </x:c>
      <x:c r="E6" s="32" t="str">
        <x:v>Active</x:v>
      </x:c>
      <x:c r="F6" s="32" t="n">
        <x:v>3</x:v>
      </x:c>
      <x:c r="G6" s="32" t="n">
        <x:v>3</x:v>
      </x:c>
      <x:c r="H6" s="32" t="n">
        <x:v>1</x:v>
      </x:c>
      <x:c r="I6" s="32" t="n">
        <x:v>134</x:v>
      </x:c>
      <x:c r="J6" s="32" t="n">
        <x:v>82</x:v>
      </x:c>
      <x:c r="K6" s="32" t="n">
        <x:v>922</x:v>
      </x:c>
      <x:c r="L6" s="32" t="n">
        <x:v>5</x:v>
      </x:c>
      <x:c r="M6" s="32" t="n">
        <x:v>14</x:v>
      </x:c>
      <x:c r="N6" s="32" t="n">
        <x:v>4</x:v>
      </x:c>
      <x:c r="O6" s="32" t="str">
        <x:v>viewer_case_1_2</x:v>
      </x:c>
      <x:c r="P6" s="32" t="str">
        <x:v>Complete</x:v>
      </x:c>
      <x:c r="Q6" s="32" t="n">
        <x:v>2</x:v>
      </x:c>
      <x:c r="R6" s="32" t="str">
        <x:v>follower_case_1_2</x:v>
      </x:c>
      <x:c r="S6" s="32" t="str">
        <x:v>Complete</x:v>
      </x:c>
      <x:c r="T6" s="32" t="str">
        <x:v>Yes</x:v>
      </x:c>
      <x:c r="U6" s="32" t="str">
        <x:v>No</x:v>
      </x:c>
      <x:c r="V6" s="32" t="str"/>
      <x:c r="W6" s="32" t="str">
        <x:v>EVG-ACC-1-2</x:v>
      </x:c>
      <x:c r="X6" s="32" t="str">
        <x:v>Interview Candidate</x:v>
      </x:c>
      <x:c r="Y6" s="32" t="str">
        <x:v>Pass</x:v>
      </x:c>
      <x:c r="Z6" s="32" t="str">
        <x:v>Synthetic daily snapshot</x:v>
      </x:c>
      <x:c r="AA6" s="32" t="str">
        <x:v>Core</x:v>
      </x:c>
      <x:c r="AB6" s="32" t="str">
        <x:v>N/A</x:v>
      </x:c>
      <x:c r="AC6" s="32" t="str">
        <x:v>Styled</x:v>
      </x:c>
      <x:c r="AD6" s="32" t="str">
        <x:v>Synthetic bio 2</x:v>
      </x:c>
      <x:c r="AE6" s="32" t="str">
        <x:v>No</x:v>
      </x:c>
      <x:c r="AF6" s="32" t="str">
        <x:v>interview_assets/profile/slot_2.png</x:v>
      </x:c>
      <x:c r="AG6" s="32" t="str">
        <x:v>Complete</x:v>
      </x:c>
      <x:c r="AH6" s="32" t="n">
        <x:v>5</x:v>
      </x:c>
      <x:c r="AI6" s="32" t="n">
        <x:v>0</x:v>
      </x:c>
      <x:c r="AJ6" s="32" t="n">
        <x:v>0</x:v>
      </x:c>
      <x:c r="AK6" s="32" t="n">
        <x:v>2</x:v>
      </x:c>
      <x:c r="AL6" s="32" t="n">
        <x:v>2</x:v>
      </x:c>
      <x:c r="AM6" s="32" t="n">
        <x:v>0</x:v>
      </x:c>
      <x:c r="AN6" s="32" t="str">
        <x:v>Yes</x:v>
      </x:c>
      <x:c r="AO6" s="32" t="str">
        <x:v>BATCH-ACC-D1</x:v>
      </x:c>
      <x:c r="AP6" s="33" t="str">
        <x:v>Matched</x:v>
      </x:c>
    </x:row>
    <x:row r="7">
      <x:c r="A7" s="49" t="n">
        <x:v>46224</x:v>
      </x:c>
      <x:c r="B7" s="32" t="str">
        <x:v>20:30</x:v>
      </x:c>
      <x:c r="C7" s="32" t="str">
        <x:v>Account Slot 3</x:v>
      </x:c>
      <x:c r="D7" s="32" t="str">
        <x:v>A</x:v>
      </x:c>
      <x:c r="E7" s="32" t="str">
        <x:v>Active</x:v>
      </x:c>
      <x:c r="F7" s="32" t="n">
        <x:v>3</x:v>
      </x:c>
      <x:c r="G7" s="32" t="n">
        <x:v>3</x:v>
      </x:c>
      <x:c r="H7" s="32" t="n">
        <x:v>0</x:v>
      </x:c>
      <x:c r="I7" s="32" t="n">
        <x:v>141</x:v>
      </x:c>
      <x:c r="J7" s="32" t="n">
        <x:v>83</x:v>
      </x:c>
      <x:c r="K7" s="32" t="n">
        <x:v>933</x:v>
      </x:c>
      <x:c r="L7" s="32" t="n">
        <x:v>6</x:v>
      </x:c>
      <x:c r="M7" s="32" t="n">
        <x:v>15</x:v>
      </x:c>
      <x:c r="N7" s="32" t="n">
        <x:v>2</x:v>
      </x:c>
      <x:c r="O7" s="32" t="str">
        <x:v>viewer_case_1_3</x:v>
      </x:c>
      <x:c r="P7" s="32" t="str">
        <x:v>Complete</x:v>
      </x:c>
      <x:c r="Q7" s="32" t="n">
        <x:v>0</x:v>
      </x:c>
      <x:c r="R7" s="32" t="str">
        <x:v>follower_case_1_3</x:v>
      </x:c>
      <x:c r="S7" s="32" t="str">
        <x:v>Complete</x:v>
      </x:c>
      <x:c r="T7" s="32" t="str">
        <x:v>No</x:v>
      </x:c>
      <x:c r="U7" s="32" t="str">
        <x:v>No</x:v>
      </x:c>
      <x:c r="V7" s="32" t="str"/>
      <x:c r="W7" s="32" t="str">
        <x:v>EVG-ACC-1-3</x:v>
      </x:c>
      <x:c r="X7" s="32" t="str">
        <x:v>Interview Candidate</x:v>
      </x:c>
      <x:c r="Y7" s="32" t="str">
        <x:v>Pass</x:v>
      </x:c>
      <x:c r="Z7" s="32" t="str">
        <x:v>Synthetic daily snapshot</x:v>
      </x:c>
      <x:c r="AA7" s="32" t="str">
        <x:v>Core</x:v>
      </x:c>
      <x:c r="AB7" s="32" t="str">
        <x:v>N/A</x:v>
      </x:c>
      <x:c r="AC7" s="32" t="str">
        <x:v>Neutral</x:v>
      </x:c>
      <x:c r="AD7" s="32" t="str">
        <x:v>Synthetic bio 3</x:v>
      </x:c>
      <x:c r="AE7" s="32" t="str">
        <x:v>No</x:v>
      </x:c>
      <x:c r="AF7" s="32" t="str">
        <x:v>interview_assets/profile/slot_3.png</x:v>
      </x:c>
      <x:c r="AG7" s="32" t="str">
        <x:v>Complete</x:v>
      </x:c>
      <x:c r="AH7" s="32" t="n">
        <x:v>6</x:v>
      </x:c>
      <x:c r="AI7" s="32" t="n">
        <x:v>1</x:v>
      </x:c>
      <x:c r="AJ7" s="32" t="n">
        <x:v>0</x:v>
      </x:c>
      <x:c r="AK7" s="32" t="n">
        <x:v>3</x:v>
      </x:c>
      <x:c r="AL7" s="32" t="n">
        <x:v>0</x:v>
      </x:c>
      <x:c r="AM7" s="32" t="n">
        <x:v>1</x:v>
      </x:c>
      <x:c r="AN7" s="32" t="str">
        <x:v>Yes</x:v>
      </x:c>
      <x:c r="AO7" s="32" t="str">
        <x:v>BATCH-ACC-D1</x:v>
      </x:c>
      <x:c r="AP7" s="33" t="str">
        <x:v>Matched</x:v>
      </x:c>
    </x:row>
    <x:row r="8">
      <x:c r="A8" s="49" t="n">
        <x:v>46224</x:v>
      </x:c>
      <x:c r="B8" s="32" t="str">
        <x:v>20:30</x:v>
      </x:c>
      <x:c r="C8" s="32" t="str">
        <x:v>Account Slot 4</x:v>
      </x:c>
      <x:c r="D8" s="32" t="str">
        <x:v>A</x:v>
      </x:c>
      <x:c r="E8" s="32" t="str">
        <x:v>Active</x:v>
      </x:c>
      <x:c r="F8" s="32" t="n">
        <x:v>3</x:v>
      </x:c>
      <x:c r="G8" s="32" t="n">
        <x:v>3</x:v>
      </x:c>
      <x:c r="H8" s="32" t="n">
        <x:v>1</x:v>
      </x:c>
      <x:c r="I8" s="32" t="n">
        <x:v>148</x:v>
      </x:c>
      <x:c r="J8" s="32" t="n">
        <x:v>84</x:v>
      </x:c>
      <x:c r="K8" s="32" t="n">
        <x:v>944</x:v>
      </x:c>
      <x:c r="L8" s="32" t="n">
        <x:v>3</x:v>
      </x:c>
      <x:c r="M8" s="32" t="n">
        <x:v>16</x:v>
      </x:c>
      <x:c r="N8" s="32" t="n">
        <x:v>3</x:v>
      </x:c>
      <x:c r="O8" s="32" t="str">
        <x:v>viewer_case_1_4</x:v>
      </x:c>
      <x:c r="P8" s="32" t="str">
        <x:v>Complete</x:v>
      </x:c>
      <x:c r="Q8" s="32" t="n">
        <x:v>1</x:v>
      </x:c>
      <x:c r="R8" s="32" t="str">
        <x:v>follower_case_1_4</x:v>
      </x:c>
      <x:c r="S8" s="32" t="str">
        <x:v>Complete</x:v>
      </x:c>
      <x:c r="T8" s="32" t="str">
        <x:v>Yes</x:v>
      </x:c>
      <x:c r="U8" s="32" t="str">
        <x:v>No</x:v>
      </x:c>
      <x:c r="V8" s="32" t="str"/>
      <x:c r="W8" s="32" t="str">
        <x:v>EVG-ACC-1-4</x:v>
      </x:c>
      <x:c r="X8" s="32" t="str">
        <x:v>Interview Candidate</x:v>
      </x:c>
      <x:c r="Y8" s="32" t="str">
        <x:v>Pass</x:v>
      </x:c>
      <x:c r="Z8" s="32" t="str">
        <x:v>Synthetic daily snapshot</x:v>
      </x:c>
      <x:c r="AA8" s="32" t="str">
        <x:v>Core</x:v>
      </x:c>
      <x:c r="AB8" s="32" t="str">
        <x:v>N/A</x:v>
      </x:c>
      <x:c r="AC8" s="32" t="str">
        <x:v>Styled</x:v>
      </x:c>
      <x:c r="AD8" s="32" t="str">
        <x:v>Synthetic bio 4</x:v>
      </x:c>
      <x:c r="AE8" s="32" t="str">
        <x:v>No</x:v>
      </x:c>
      <x:c r="AF8" s="32" t="str">
        <x:v>interview_assets/profile/slot_4.png</x:v>
      </x:c>
      <x:c r="AG8" s="32" t="str">
        <x:v>Complete</x:v>
      </x:c>
      <x:c r="AH8" s="32" t="n">
        <x:v>3</x:v>
      </x:c>
      <x:c r="AI8" s="32" t="n">
        <x:v>0</x:v>
      </x:c>
      <x:c r="AJ8" s="32" t="n">
        <x:v>0</x:v>
      </x:c>
      <x:c r="AK8" s="32" t="n">
        <x:v>0</x:v>
      </x:c>
      <x:c r="AL8" s="32" t="n">
        <x:v>1</x:v>
      </x:c>
      <x:c r="AM8" s="32" t="n">
        <x:v>0</x:v>
      </x:c>
      <x:c r="AN8" s="32" t="str">
        <x:v>Yes</x:v>
      </x:c>
      <x:c r="AO8" s="32" t="str">
        <x:v>BATCH-ACC-D1</x:v>
      </x:c>
      <x:c r="AP8" s="33" t="str">
        <x:v>Matched</x:v>
      </x:c>
    </x:row>
    <x:row r="9">
      <x:c r="A9" s="49" t="n">
        <x:v>46224</x:v>
      </x:c>
      <x:c r="B9" s="32" t="str">
        <x:v>20:30</x:v>
      </x:c>
      <x:c r="C9" s="32" t="str">
        <x:v>Account Slot 5</x:v>
      </x:c>
      <x:c r="D9" s="32" t="str">
        <x:v>A</x:v>
      </x:c>
      <x:c r="E9" s="32" t="str">
        <x:v>Active</x:v>
      </x:c>
      <x:c r="F9" s="32" t="n">
        <x:v>3</x:v>
      </x:c>
      <x:c r="G9" s="32" t="n">
        <x:v>3</x:v>
      </x:c>
      <x:c r="H9" s="32" t="n">
        <x:v>1</x:v>
      </x:c>
      <x:c r="I9" s="32" t="n">
        <x:v>155</x:v>
      </x:c>
      <x:c r="J9" s="32" t="n">
        <x:v>85</x:v>
      </x:c>
      <x:c r="K9" s="32" t="n">
        <x:v>955</x:v>
      </x:c>
      <x:c r="L9" s="32" t="n">
        <x:v>4</x:v>
      </x:c>
      <x:c r="M9" s="32" t="n">
        <x:v>17</x:v>
      </x:c>
      <x:c r="N9" s="32" t="n">
        <x:v>4</x:v>
      </x:c>
      <x:c r="O9" s="32" t="str">
        <x:v>viewer_case_1_5</x:v>
      </x:c>
      <x:c r="P9" s="32" t="str">
        <x:v>Complete</x:v>
      </x:c>
      <x:c r="Q9" s="32" t="n">
        <x:v>2</x:v>
      </x:c>
      <x:c r="R9" s="32" t="str">
        <x:v>follower_case_1_5</x:v>
      </x:c>
      <x:c r="S9" s="32" t="str">
        <x:v>Complete</x:v>
      </x:c>
      <x:c r="T9" s="32" t="str">
        <x:v>Yes</x:v>
      </x:c>
      <x:c r="U9" s="32" t="str">
        <x:v>No</x:v>
      </x:c>
      <x:c r="V9" s="32" t="str"/>
      <x:c r="W9" s="32" t="str">
        <x:v>EVG-ACC-1-5</x:v>
      </x:c>
      <x:c r="X9" s="32" t="str">
        <x:v>Interview Candidate</x:v>
      </x:c>
      <x:c r="Y9" s="32" t="str">
        <x:v>Pass</x:v>
      </x:c>
      <x:c r="Z9" s="32" t="str">
        <x:v>Synthetic daily snapshot</x:v>
      </x:c>
      <x:c r="AA9" s="32" t="str">
        <x:v>Core</x:v>
      </x:c>
      <x:c r="AB9" s="32" t="str">
        <x:v>N/A</x:v>
      </x:c>
      <x:c r="AC9" s="32" t="str">
        <x:v>Neutral</x:v>
      </x:c>
      <x:c r="AD9" s="32" t="str">
        <x:v>Synthetic bio 5</x:v>
      </x:c>
      <x:c r="AE9" s="32" t="str">
        <x:v>No</x:v>
      </x:c>
      <x:c r="AF9" s="32" t="str">
        <x:v>interview_assets/profile/slot_5.png</x:v>
      </x:c>
      <x:c r="AG9" s="32" t="str">
        <x:v>Complete</x:v>
      </x:c>
      <x:c r="AH9" s="32" t="n">
        <x:v>4</x:v>
      </x:c>
      <x:c r="AI9" s="32" t="n">
        <x:v>1</x:v>
      </x:c>
      <x:c r="AJ9" s="32" t="n">
        <x:v>0</x:v>
      </x:c>
      <x:c r="AK9" s="32" t="n">
        <x:v>1</x:v>
      </x:c>
      <x:c r="AL9" s="32" t="n">
        <x:v>2</x:v>
      </x:c>
      <x:c r="AM9" s="32" t="n">
        <x:v>1</x:v>
      </x:c>
      <x:c r="AN9" s="32" t="str">
        <x:v>Yes</x:v>
      </x:c>
      <x:c r="AO9" s="32" t="str">
        <x:v>BATCH-ACC-D1</x:v>
      </x:c>
      <x:c r="AP9" s="33" t="str">
        <x:v>Matched</x:v>
      </x:c>
    </x:row>
    <x:row r="10">
      <x:c r="A10" s="49" t="n">
        <x:v>46224</x:v>
      </x:c>
      <x:c r="B10" s="32" t="str">
        <x:v>20:30</x:v>
      </x:c>
      <x:c r="C10" s="32" t="str">
        <x:v>Account Slot 6</x:v>
      </x:c>
      <x:c r="D10" s="32" t="str">
        <x:v>B</x:v>
      </x:c>
      <x:c r="E10" s="32" t="str">
        <x:v>Active</x:v>
      </x:c>
      <x:c r="F10" s="32" t="n">
        <x:v>2</x:v>
      </x:c>
      <x:c r="G10" s="32" t="n">
        <x:v>0</x:v>
      </x:c>
      <x:c r="H10" s="32" t="n">
        <x:v>0</x:v>
      </x:c>
      <x:c r="I10" s="32" t="n">
        <x:v>162</x:v>
      </x:c>
      <x:c r="J10" s="32" t="n">
        <x:v>86</x:v>
      </x:c>
      <x:c r="K10" s="32" t="n">
        <x:v>966</x:v>
      </x:c>
      <x:c r="L10" s="32" t="n">
        <x:v>5</x:v>
      </x:c>
      <x:c r="M10" s="32" t="n">
        <x:v>18</x:v>
      </x:c>
      <x:c r="N10" s="32" t="n">
        <x:v>2</x:v>
      </x:c>
      <x:c r="O10" s="32" t="str">
        <x:v>viewer_case_1_6</x:v>
      </x:c>
      <x:c r="P10" s="32" t="str">
        <x:v>Complete</x:v>
      </x:c>
      <x:c r="Q10" s="32" t="n">
        <x:v>0</x:v>
      </x:c>
      <x:c r="R10" s="32" t="str">
        <x:v>follower_case_1_6</x:v>
      </x:c>
      <x:c r="S10" s="32" t="str">
        <x:v>Complete</x:v>
      </x:c>
      <x:c r="T10" s="32" t="str">
        <x:v>No</x:v>
      </x:c>
      <x:c r="U10" s="32" t="str">
        <x:v>No</x:v>
      </x:c>
      <x:c r="V10" s="32" t="str"/>
      <x:c r="W10" s="32" t="str">
        <x:v>EVG-ACC-1-6</x:v>
      </x:c>
      <x:c r="X10" s="32" t="str">
        <x:v>Interview Candidate</x:v>
      </x:c>
      <x:c r="Y10" s="32" t="str">
        <x:v>Pass</x:v>
      </x:c>
      <x:c r="Z10" s="32" t="str">
        <x:v>Synthetic daily snapshot</x:v>
      </x:c>
      <x:c r="AA10" s="32" t="str">
        <x:v>Advanced</x:v>
      </x:c>
      <x:c r="AB10" s="32" t="str">
        <x:v>N/A</x:v>
      </x:c>
      <x:c r="AC10" s="32" t="str">
        <x:v>Styled</x:v>
      </x:c>
      <x:c r="AD10" s="32" t="str">
        <x:v>Synthetic bio 6</x:v>
      </x:c>
      <x:c r="AE10" s="32" t="str">
        <x:v>No</x:v>
      </x:c>
      <x:c r="AF10" s="32" t="str">
        <x:v>interview_assets/profile/slot_6.png</x:v>
      </x:c>
      <x:c r="AG10" s="32" t="str">
        <x:v>Complete</x:v>
      </x:c>
      <x:c r="AH10" s="32" t="n">
        <x:v>5</x:v>
      </x:c>
      <x:c r="AI10" s="32" t="n">
        <x:v>0</x:v>
      </x:c>
      <x:c r="AJ10" s="32" t="n">
        <x:v>0</x:v>
      </x:c>
      <x:c r="AK10" s="32" t="n">
        <x:v>2</x:v>
      </x:c>
      <x:c r="AL10" s="32" t="n">
        <x:v>0</x:v>
      </x:c>
      <x:c r="AM10" s="32" t="n">
        <x:v>0</x:v>
      </x:c>
      <x:c r="AN10" s="32" t="str">
        <x:v>Yes</x:v>
      </x:c>
      <x:c r="AO10" s="32" t="str">
        <x:v>BATCH-ACC-D1</x:v>
      </x:c>
      <x:c r="AP10" s="33" t="str">
        <x:v>Matched</x:v>
      </x:c>
    </x:row>
    <x:row r="11">
      <x:c r="A11" s="49" t="n">
        <x:v>46224</x:v>
      </x:c>
      <x:c r="B11" s="32" t="str">
        <x:v>20:30</x:v>
      </x:c>
      <x:c r="C11" s="32" t="str">
        <x:v>Account Slot 7</x:v>
      </x:c>
      <x:c r="D11" s="32" t="str">
        <x:v>B</x:v>
      </x:c>
      <x:c r="E11" s="32" t="str">
        <x:v>Active</x:v>
      </x:c>
      <x:c r="F11" s="32" t="n">
        <x:v>2</x:v>
      </x:c>
      <x:c r="G11" s="32" t="n">
        <x:v>2</x:v>
      </x:c>
      <x:c r="H11" s="32" t="n">
        <x:v>0</x:v>
      </x:c>
      <x:c r="I11" s="32" t="n">
        <x:v>169</x:v>
      </x:c>
      <x:c r="J11" s="32" t="n">
        <x:v>87</x:v>
      </x:c>
      <x:c r="K11" s="32" t="n">
        <x:v>977</x:v>
      </x:c>
      <x:c r="L11" s="32" t="n">
        <x:v>6</x:v>
      </x:c>
      <x:c r="M11" s="32" t="n">
        <x:v>19</x:v>
      </x:c>
      <x:c r="N11" s="32" t="n">
        <x:v>3</x:v>
      </x:c>
      <x:c r="O11" s="32" t="str">
        <x:v>viewer_case_1_7</x:v>
      </x:c>
      <x:c r="P11" s="32" t="str">
        <x:v>Complete</x:v>
      </x:c>
      <x:c r="Q11" s="32" t="n">
        <x:v>1</x:v>
      </x:c>
      <x:c r="R11" s="32" t="str">
        <x:v>follower_case_1_7</x:v>
      </x:c>
      <x:c r="S11" s="32" t="str">
        <x:v>Complete</x:v>
      </x:c>
      <x:c r="T11" s="32" t="str">
        <x:v>No</x:v>
      </x:c>
      <x:c r="U11" s="32" t="str">
        <x:v>No</x:v>
      </x:c>
      <x:c r="V11" s="32" t="str"/>
      <x:c r="W11" s="32" t="str">
        <x:v>EVG-ACC-1-7</x:v>
      </x:c>
      <x:c r="X11" s="32" t="str">
        <x:v>Interview Candidate</x:v>
      </x:c>
      <x:c r="Y11" s="32" t="str">
        <x:v>Pass</x:v>
      </x:c>
      <x:c r="Z11" s="32" t="str">
        <x:v>Synthetic daily snapshot</x:v>
      </x:c>
      <x:c r="AA11" s="32" t="str">
        <x:v>Advanced</x:v>
      </x:c>
      <x:c r="AB11" s="32" t="str">
        <x:v>N/A</x:v>
      </x:c>
      <x:c r="AC11" s="32" t="str">
        <x:v>Neutral</x:v>
      </x:c>
      <x:c r="AD11" s="32" t="str">
        <x:v>Synthetic bio 7</x:v>
      </x:c>
      <x:c r="AE11" s="32" t="str">
        <x:v>No</x:v>
      </x:c>
      <x:c r="AF11" s="32" t="str">
        <x:v>interview_assets/profile/slot_7.png</x:v>
      </x:c>
      <x:c r="AG11" s="32" t="str">
        <x:v>Complete</x:v>
      </x:c>
      <x:c r="AH11" s="32" t="n">
        <x:v>6</x:v>
      </x:c>
      <x:c r="AI11" s="32" t="n">
        <x:v>1</x:v>
      </x:c>
      <x:c r="AJ11" s="32" t="n">
        <x:v>0</x:v>
      </x:c>
      <x:c r="AK11" s="32" t="n">
        <x:v>3</x:v>
      </x:c>
      <x:c r="AL11" s="32" t="n">
        <x:v>1</x:v>
      </x:c>
      <x:c r="AM11" s="32" t="n">
        <x:v>1</x:v>
      </x:c>
      <x:c r="AN11" s="32" t="str">
        <x:v>Yes</x:v>
      </x:c>
      <x:c r="AO11" s="32" t="str">
        <x:v>BATCH-ACC-D1</x:v>
      </x:c>
      <x:c r="AP11" s="33" t="str">
        <x:v>Matched</x:v>
      </x:c>
    </x:row>
    <x:row r="12">
      <x:c r="A12" s="49" t="n">
        <x:v>46224</x:v>
      </x:c>
      <x:c r="B12" s="32" t="str">
        <x:v>20:30</x:v>
      </x:c>
      <x:c r="C12" s="32" t="str">
        <x:v>Account Slot 8</x:v>
      </x:c>
      <x:c r="D12" s="32" t="str">
        <x:v>B</x:v>
      </x:c>
      <x:c r="E12" s="32" t="str">
        <x:v>Active</x:v>
      </x:c>
      <x:c r="F12" s="32" t="n">
        <x:v>2</x:v>
      </x:c>
      <x:c r="G12" s="32" t="n">
        <x:v>2</x:v>
      </x:c>
      <x:c r="H12" s="32" t="n">
        <x:v>1</x:v>
      </x:c>
      <x:c r="I12" s="32" t="n">
        <x:v>176</x:v>
      </x:c>
      <x:c r="J12" s="32" t="n">
        <x:v>88</x:v>
      </x:c>
      <x:c r="K12" s="32" t="n">
        <x:v>988</x:v>
      </x:c>
      <x:c r="L12" s="32" t="n">
        <x:v>3</x:v>
      </x:c>
      <x:c r="M12" s="32" t="n">
        <x:v>20</x:v>
      </x:c>
      <x:c r="N12" s="32" t="n">
        <x:v>4</x:v>
      </x:c>
      <x:c r="O12" s="32" t="str">
        <x:v>viewer_case_1_8</x:v>
      </x:c>
      <x:c r="P12" s="32" t="str">
        <x:v>Complete</x:v>
      </x:c>
      <x:c r="Q12" s="32" t="n">
        <x:v>2</x:v>
      </x:c>
      <x:c r="R12" s="32" t="str">
        <x:v>follower_case_1_8</x:v>
      </x:c>
      <x:c r="S12" s="32" t="str">
        <x:v>Complete</x:v>
      </x:c>
      <x:c r="T12" s="32" t="str">
        <x:v>Yes</x:v>
      </x:c>
      <x:c r="U12" s="32" t="str">
        <x:v>No</x:v>
      </x:c>
      <x:c r="V12" s="32" t="str"/>
      <x:c r="W12" s="32" t="str">
        <x:v>EVG-ACC-1-8</x:v>
      </x:c>
      <x:c r="X12" s="32" t="str">
        <x:v>Interview Candidate</x:v>
      </x:c>
      <x:c r="Y12" s="32" t="str">
        <x:v>Pass</x:v>
      </x:c>
      <x:c r="Z12" s="32" t="str">
        <x:v>Synthetic daily snapshot</x:v>
      </x:c>
      <x:c r="AA12" s="32" t="str">
        <x:v>Advanced</x:v>
      </x:c>
      <x:c r="AB12" s="32" t="str">
        <x:v>N/A</x:v>
      </x:c>
      <x:c r="AC12" s="32" t="str">
        <x:v>Styled</x:v>
      </x:c>
      <x:c r="AD12" s="32" t="str">
        <x:v>Synthetic bio 8</x:v>
      </x:c>
      <x:c r="AE12" s="32" t="str">
        <x:v>No</x:v>
      </x:c>
      <x:c r="AF12" s="32" t="str">
        <x:v>interview_assets/profile/slot_8.png</x:v>
      </x:c>
      <x:c r="AG12" s="32" t="str">
        <x:v>Complete</x:v>
      </x:c>
      <x:c r="AH12" s="32" t="n">
        <x:v>3</x:v>
      </x:c>
      <x:c r="AI12" s="32" t="n">
        <x:v>0</x:v>
      </x:c>
      <x:c r="AJ12" s="32" t="n">
        <x:v>0</x:v>
      </x:c>
      <x:c r="AK12" s="32" t="n">
        <x:v>0</x:v>
      </x:c>
      <x:c r="AL12" s="32" t="n">
        <x:v>2</x:v>
      </x:c>
      <x:c r="AM12" s="32" t="n">
        <x:v>0</x:v>
      </x:c>
      <x:c r="AN12" s="32" t="str">
        <x:v>Yes</x:v>
      </x:c>
      <x:c r="AO12" s="32" t="str">
        <x:v>BATCH-ACC-D1</x:v>
      </x:c>
      <x:c r="AP12" s="33" t="str">
        <x:v>Matched</x:v>
      </x:c>
    </x:row>
    <x:row r="13">
      <x:c r="A13" s="49" t="n">
        <x:v>46224</x:v>
      </x:c>
      <x:c r="B13" s="32" t="str">
        <x:v>20:30</x:v>
      </x:c>
      <x:c r="C13" s="32" t="str">
        <x:v>Account Slot 9</x:v>
      </x:c>
      <x:c r="D13" s="32" t="str">
        <x:v>B</x:v>
      </x:c>
      <x:c r="E13" s="32" t="str">
        <x:v>Active</x:v>
      </x:c>
      <x:c r="F13" s="32" t="n">
        <x:v>2</x:v>
      </x:c>
      <x:c r="G13" s="32" t="n">
        <x:v>2</x:v>
      </x:c>
      <x:c r="H13" s="32" t="n">
        <x:v>0</x:v>
      </x:c>
      <x:c r="I13" s="32" t="n">
        <x:v>183</x:v>
      </x:c>
      <x:c r="J13" s="32" t="n">
        <x:v>89</x:v>
      </x:c>
      <x:c r="K13" s="32" t="n">
        <x:v>999</x:v>
      </x:c>
      <x:c r="L13" s="32" t="n">
        <x:v>4</x:v>
      </x:c>
      <x:c r="M13" s="32" t="n">
        <x:v>21</x:v>
      </x:c>
      <x:c r="N13" s="32" t="n">
        <x:v>2</x:v>
      </x:c>
      <x:c r="O13" s="32" t="str">
        <x:v>viewer_case_1_9</x:v>
      </x:c>
      <x:c r="P13" s="32" t="str">
        <x:v>Complete</x:v>
      </x:c>
      <x:c r="Q13" s="32" t="n">
        <x:v>0</x:v>
      </x:c>
      <x:c r="R13" s="32" t="str">
        <x:v>follower_case_1_9</x:v>
      </x:c>
      <x:c r="S13" s="32" t="str">
        <x:v>Complete</x:v>
      </x:c>
      <x:c r="T13" s="32" t="str">
        <x:v>No</x:v>
      </x:c>
      <x:c r="U13" s="32" t="str">
        <x:v>No</x:v>
      </x:c>
      <x:c r="V13" s="32" t="str"/>
      <x:c r="W13" s="32" t="str">
        <x:v>EVG-ACC-1-9</x:v>
      </x:c>
      <x:c r="X13" s="32" t="str">
        <x:v>Interview Candidate</x:v>
      </x:c>
      <x:c r="Y13" s="32" t="str">
        <x:v>Pass</x:v>
      </x:c>
      <x:c r="Z13" s="32" t="str">
        <x:v>Synthetic daily snapshot</x:v>
      </x:c>
      <x:c r="AA13" s="32" t="str">
        <x:v>Advanced</x:v>
      </x:c>
      <x:c r="AB13" s="32" t="str">
        <x:v>N/A</x:v>
      </x:c>
      <x:c r="AC13" s="32" t="str">
        <x:v>Neutral</x:v>
      </x:c>
      <x:c r="AD13" s="32" t="str">
        <x:v>Synthetic bio 9</x:v>
      </x:c>
      <x:c r="AE13" s="32" t="str">
        <x:v>No</x:v>
      </x:c>
      <x:c r="AF13" s="32" t="str">
        <x:v>interview_assets/profile/slot_9.png</x:v>
      </x:c>
      <x:c r="AG13" s="32" t="str">
        <x:v>Complete</x:v>
      </x:c>
      <x:c r="AH13" s="32" t="n">
        <x:v>4</x:v>
      </x:c>
      <x:c r="AI13" s="32" t="n">
        <x:v>1</x:v>
      </x:c>
      <x:c r="AJ13" s="32" t="n">
        <x:v>0</x:v>
      </x:c>
      <x:c r="AK13" s="32" t="n">
        <x:v>1</x:v>
      </x:c>
      <x:c r="AL13" s="32" t="n">
        <x:v>0</x:v>
      </x:c>
      <x:c r="AM13" s="32" t="n">
        <x:v>1</x:v>
      </x:c>
      <x:c r="AN13" s="32" t="str">
        <x:v>Yes</x:v>
      </x:c>
      <x:c r="AO13" s="32" t="str">
        <x:v>BATCH-ACC-D1</x:v>
      </x:c>
      <x:c r="AP13" s="33" t="str">
        <x:v>Matched</x:v>
      </x:c>
    </x:row>
    <x:row r="14">
      <x:c r="A14" s="49" t="n">
        <x:v>46224</x:v>
      </x:c>
      <x:c r="B14" s="32" t="str">
        <x:v>20:30</x:v>
      </x:c>
      <x:c r="C14" s="32" t="str">
        <x:v>Account Slot 10</x:v>
      </x:c>
      <x:c r="D14" s="32" t="str">
        <x:v>B</x:v>
      </x:c>
      <x:c r="E14" s="32" t="str">
        <x:v>Active</x:v>
      </x:c>
      <x:c r="F14" s="32" t="n">
        <x:v>2</x:v>
      </x:c>
      <x:c r="G14" s="32" t="n">
        <x:v>2</x:v>
      </x:c>
      <x:c r="H14" s="32" t="n">
        <x:v>0</x:v>
      </x:c>
      <x:c r="I14" s="32" t="n">
        <x:v>190</x:v>
      </x:c>
      <x:c r="J14" s="32" t="n">
        <x:v>90</x:v>
      </x:c>
      <x:c r="K14" s="32" t="n">
        <x:v>1010</x:v>
      </x:c>
      <x:c r="L14" s="32" t="n">
        <x:v>5</x:v>
      </x:c>
      <x:c r="M14" s="32" t="n">
        <x:v>22</x:v>
      </x:c>
      <x:c r="N14" s="32" t="n">
        <x:v>3</x:v>
      </x:c>
      <x:c r="O14" s="32" t="str">
        <x:v>viewer_case_1_10</x:v>
      </x:c>
      <x:c r="P14" s="32" t="str">
        <x:v>Complete</x:v>
      </x:c>
      <x:c r="Q14" s="32" t="n">
        <x:v>1</x:v>
      </x:c>
      <x:c r="R14" s="32" t="str">
        <x:v>follower_case_1_10</x:v>
      </x:c>
      <x:c r="S14" s="32" t="str">
        <x:v>Complete</x:v>
      </x:c>
      <x:c r="T14" s="32" t="str">
        <x:v>No</x:v>
      </x:c>
      <x:c r="U14" s="32" t="str">
        <x:v>No</x:v>
      </x:c>
      <x:c r="V14" s="32" t="str"/>
      <x:c r="W14" s="32" t="str">
        <x:v>EVG-ACC-1-10</x:v>
      </x:c>
      <x:c r="X14" s="32" t="str">
        <x:v>Interview Candidate</x:v>
      </x:c>
      <x:c r="Y14" s="32" t="str">
        <x:v>Pass</x:v>
      </x:c>
      <x:c r="Z14" s="32" t="str">
        <x:v>Synthetic daily snapshot</x:v>
      </x:c>
      <x:c r="AA14" s="32" t="str">
        <x:v>Advanced</x:v>
      </x:c>
      <x:c r="AB14" s="32" t="str">
        <x:v>N/A</x:v>
      </x:c>
      <x:c r="AC14" s="32" t="str">
        <x:v>Styled</x:v>
      </x:c>
      <x:c r="AD14" s="32" t="str">
        <x:v>Synthetic bio 10</x:v>
      </x:c>
      <x:c r="AE14" s="32" t="str">
        <x:v>No</x:v>
      </x:c>
      <x:c r="AF14" s="32" t="str">
        <x:v>interview_assets/profile/slot_10.png</x:v>
      </x:c>
      <x:c r="AG14" s="32" t="str">
        <x:v>Complete</x:v>
      </x:c>
      <x:c r="AH14" s="32" t="n">
        <x:v>5</x:v>
      </x:c>
      <x:c r="AI14" s="32" t="n">
        <x:v>0</x:v>
      </x:c>
      <x:c r="AJ14" s="32" t="n">
        <x:v>0</x:v>
      </x:c>
      <x:c r="AK14" s="32" t="n">
        <x:v>2</x:v>
      </x:c>
      <x:c r="AL14" s="32" t="n">
        <x:v>1</x:v>
      </x:c>
      <x:c r="AM14" s="32" t="n">
        <x:v>0</x:v>
      </x:c>
      <x:c r="AN14" s="32" t="str">
        <x:v>Yes</x:v>
      </x:c>
      <x:c r="AO14" s="32" t="str">
        <x:v>BATCH-ACC-D1</x:v>
      </x:c>
      <x:c r="AP14" s="33" t="str">
        <x:v>Matched</x:v>
      </x:c>
    </x:row>
    <x:row r="15">
      <x:c r="A15" s="49" t="n">
        <x:v>46225</x:v>
      </x:c>
      <x:c r="B15" s="32" t="str">
        <x:v>20:30</x:v>
      </x:c>
      <x:c r="C15" s="32" t="str">
        <x:v>Account Slot 1</x:v>
      </x:c>
      <x:c r="D15" s="32" t="str">
        <x:v>A</x:v>
      </x:c>
      <x:c r="E15" s="32" t="str">
        <x:v>Active</x:v>
      </x:c>
      <x:c r="F15" s="32" t="n">
        <x:v>2</x:v>
      </x:c>
      <x:c r="G15" s="32" t="n">
        <x:v>0</x:v>
      </x:c>
      <x:c r="H15" s="32" t="n">
        <x:v>0</x:v>
      </x:c>
      <x:c r="I15" s="32" t="n">
        <x:v>128</x:v>
      </x:c>
      <x:c r="J15" s="32" t="n">
        <x:v>81</x:v>
      </x:c>
      <x:c r="K15" s="32" t="n">
        <x:v>914</x:v>
      </x:c>
      <x:c r="L15" s="32" t="n">
        <x:v>4</x:v>
      </x:c>
      <x:c r="M15" s="32" t="n">
        <x:v>14</x:v>
      </x:c>
      <x:c r="N15" s="32" t="n">
        <x:v>3</x:v>
      </x:c>
      <x:c r="O15" s="32" t="str">
        <x:v>viewer_case_2_1</x:v>
      </x:c>
      <x:c r="P15" s="32" t="str">
        <x:v>Complete</x:v>
      </x:c>
      <x:c r="Q15" s="32" t="n">
        <x:v>1</x:v>
      </x:c>
      <x:c r="R15" s="32" t="str">
        <x:v>follower_case_2_1</x:v>
      </x:c>
      <x:c r="S15" s="32" t="str">
        <x:v>Complete</x:v>
      </x:c>
      <x:c r="T15" s="32" t="str">
        <x:v>No</x:v>
      </x:c>
      <x:c r="U15" s="32" t="str">
        <x:v>No</x:v>
      </x:c>
      <x:c r="V15" s="32" t="str"/>
      <x:c r="W15" s="32" t="str">
        <x:v>EVG-ACC-2-1</x:v>
      </x:c>
      <x:c r="X15" s="32" t="str">
        <x:v>Interview Candidate</x:v>
      </x:c>
      <x:c r="Y15" s="32" t="str">
        <x:v>Pass</x:v>
      </x:c>
      <x:c r="Z15" s="32" t="str">
        <x:v>Synthetic daily snapshot</x:v>
      </x:c>
      <x:c r="AA15" s="32" t="str">
        <x:v>Core</x:v>
      </x:c>
      <x:c r="AB15" s="32" t="str">
        <x:v>N/A</x:v>
      </x:c>
      <x:c r="AC15" s="32" t="str">
        <x:v>Neutral</x:v>
      </x:c>
      <x:c r="AD15" s="32" t="str">
        <x:v>Synthetic bio 1</x:v>
      </x:c>
      <x:c r="AE15" s="32" t="str">
        <x:v>No</x:v>
      </x:c>
      <x:c r="AF15" s="32" t="str">
        <x:v>interview_assets/profile/slot_1.png</x:v>
      </x:c>
      <x:c r="AG15" s="32" t="str">
        <x:v>Complete</x:v>
      </x:c>
      <x:c r="AH15" s="32" t="n">
        <x:v>4</x:v>
      </x:c>
      <x:c r="AI15" s="32" t="n">
        <x:v>1</x:v>
      </x:c>
      <x:c r="AJ15" s="32" t="n">
        <x:v>0</x:v>
      </x:c>
      <x:c r="AK15" s="32" t="n">
        <x:v>1</x:v>
      </x:c>
      <x:c r="AL15" s="32" t="n">
        <x:v>1</x:v>
      </x:c>
      <x:c r="AM15" s="32" t="n">
        <x:v>1</x:v>
      </x:c>
      <x:c r="AN15" s="32" t="str">
        <x:v>Yes</x:v>
      </x:c>
      <x:c r="AO15" s="32" t="str">
        <x:v>BATCH-ACC-D2</x:v>
      </x:c>
      <x:c r="AP15" s="33" t="str">
        <x:v>Matched</x:v>
      </x:c>
    </x:row>
    <x:row r="16">
      <x:c r="A16" s="49" t="n">
        <x:v>46225</x:v>
      </x:c>
      <x:c r="B16" s="32" t="str">
        <x:v>20:30</x:v>
      </x:c>
      <x:c r="C16" s="32" t="str">
        <x:v>Account Slot 2</x:v>
      </x:c>
      <x:c r="D16" s="32" t="str">
        <x:v>A</x:v>
      </x:c>
      <x:c r="E16" s="32" t="str">
        <x:v>Active</x:v>
      </x:c>
      <x:c r="F16" s="32" t="n">
        <x:v>2</x:v>
      </x:c>
      <x:c r="G16" s="32" t="n">
        <x:v>2</x:v>
      </x:c>
      <x:c r="H16" s="32" t="n">
        <x:v>0</x:v>
      </x:c>
      <x:c r="I16" s="32" t="n">
        <x:v>135</x:v>
      </x:c>
      <x:c r="J16" s="32" t="n">
        <x:v>82</x:v>
      </x:c>
      <x:c r="K16" s="32" t="n">
        <x:v>925</x:v>
      </x:c>
      <x:c r="L16" s="32" t="n">
        <x:v>5</x:v>
      </x:c>
      <x:c r="M16" s="32" t="n">
        <x:v>15</x:v>
      </x:c>
      <x:c r="N16" s="32" t="n">
        <x:v>4</x:v>
      </x:c>
      <x:c r="O16" s="32" t="str">
        <x:v>viewer_case_2_2</x:v>
      </x:c>
      <x:c r="P16" s="32" t="str">
        <x:v>Complete</x:v>
      </x:c>
      <x:c r="Q16" s="32" t="n">
        <x:v>2</x:v>
      </x:c>
      <x:c r="R16" s="32" t="str">
        <x:v>follower_case_2_2</x:v>
      </x:c>
      <x:c r="S16" s="32" t="str">
        <x:v>Complete</x:v>
      </x:c>
      <x:c r="T16" s="32" t="str">
        <x:v>No</x:v>
      </x:c>
      <x:c r="U16" s="32" t="str">
        <x:v>No</x:v>
      </x:c>
      <x:c r="V16" s="32" t="str"/>
      <x:c r="W16" s="32" t="str">
        <x:v>EVG-ACC-2-2</x:v>
      </x:c>
      <x:c r="X16" s="32" t="str">
        <x:v>Interview Candidate</x:v>
      </x:c>
      <x:c r="Y16" s="32" t="str">
        <x:v>Pass</x:v>
      </x:c>
      <x:c r="Z16" s="32" t="str">
        <x:v>Synthetic daily snapshot</x:v>
      </x:c>
      <x:c r="AA16" s="32" t="str">
        <x:v>Core</x:v>
      </x:c>
      <x:c r="AB16" s="32" t="str">
        <x:v>N/A</x:v>
      </x:c>
      <x:c r="AC16" s="32" t="str">
        <x:v>Styled</x:v>
      </x:c>
      <x:c r="AD16" s="32" t="str">
        <x:v>Synthetic bio 2</x:v>
      </x:c>
      <x:c r="AE16" s="32" t="str">
        <x:v>No</x:v>
      </x:c>
      <x:c r="AF16" s="32" t="str">
        <x:v>interview_assets/profile/slot_2.png</x:v>
      </x:c>
      <x:c r="AG16" s="32" t="str">
        <x:v>Complete</x:v>
      </x:c>
      <x:c r="AH16" s="32" t="n">
        <x:v>5</x:v>
      </x:c>
      <x:c r="AI16" s="32" t="n">
        <x:v>0</x:v>
      </x:c>
      <x:c r="AJ16" s="32" t="n">
        <x:v>0</x:v>
      </x:c>
      <x:c r="AK16" s="32" t="n">
        <x:v>2</x:v>
      </x:c>
      <x:c r="AL16" s="32" t="n">
        <x:v>2</x:v>
      </x:c>
      <x:c r="AM16" s="32" t="n">
        <x:v>0</x:v>
      </x:c>
      <x:c r="AN16" s="32" t="str">
        <x:v>Yes</x:v>
      </x:c>
      <x:c r="AO16" s="32" t="str">
        <x:v>BATCH-ACC-D2</x:v>
      </x:c>
      <x:c r="AP16" s="33" t="str">
        <x:v>Matched</x:v>
      </x:c>
    </x:row>
    <x:row r="17">
      <x:c r="A17" s="49" t="n">
        <x:v>46225</x:v>
      </x:c>
      <x:c r="B17" s="32" t="str">
        <x:v>20:30</x:v>
      </x:c>
      <x:c r="C17" s="32" t="str">
        <x:v>Account Slot 3</x:v>
      </x:c>
      <x:c r="D17" s="32" t="str">
        <x:v>A</x:v>
      </x:c>
      <x:c r="E17" s="32" t="str">
        <x:v>Active</x:v>
      </x:c>
      <x:c r="F17" s="32" t="n">
        <x:v>2</x:v>
      </x:c>
      <x:c r="G17" s="32" t="n">
        <x:v>2</x:v>
      </x:c>
      <x:c r="H17" s="32" t="n">
        <x:v>1</x:v>
      </x:c>
      <x:c r="I17" s="32" t="n">
        <x:v>142</x:v>
      </x:c>
      <x:c r="J17" s="32" t="n">
        <x:v>83</x:v>
      </x:c>
      <x:c r="K17" s="32" t="n">
        <x:v>936</x:v>
      </x:c>
      <x:c r="L17" s="32" t="n">
        <x:v>6</x:v>
      </x:c>
      <x:c r="M17" s="32" t="n">
        <x:v>16</x:v>
      </x:c>
      <x:c r="N17" s="32" t="n">
        <x:v>2</x:v>
      </x:c>
      <x:c r="O17" s="32" t="str">
        <x:v>viewer_case_2_3</x:v>
      </x:c>
      <x:c r="P17" s="32" t="str">
        <x:v>Complete</x:v>
      </x:c>
      <x:c r="Q17" s="32" t="n">
        <x:v>0</x:v>
      </x:c>
      <x:c r="R17" s="32" t="str">
        <x:v>follower_case_2_3</x:v>
      </x:c>
      <x:c r="S17" s="32" t="str">
        <x:v>Complete</x:v>
      </x:c>
      <x:c r="T17" s="32" t="str">
        <x:v>Yes</x:v>
      </x:c>
      <x:c r="U17" s="32" t="str">
        <x:v>No</x:v>
      </x:c>
      <x:c r="V17" s="32" t="str"/>
      <x:c r="W17" s="32" t="str">
        <x:v>EVG-ACC-2-3</x:v>
      </x:c>
      <x:c r="X17" s="32" t="str">
        <x:v>Interview Candidate</x:v>
      </x:c>
      <x:c r="Y17" s="32" t="str">
        <x:v>Pass</x:v>
      </x:c>
      <x:c r="Z17" s="32" t="str">
        <x:v>Synthetic daily snapshot</x:v>
      </x:c>
      <x:c r="AA17" s="32" t="str">
        <x:v>Core</x:v>
      </x:c>
      <x:c r="AB17" s="32" t="str">
        <x:v>N/A</x:v>
      </x:c>
      <x:c r="AC17" s="32" t="str">
        <x:v>Neutral</x:v>
      </x:c>
      <x:c r="AD17" s="32" t="str">
        <x:v>Synthetic bio 3</x:v>
      </x:c>
      <x:c r="AE17" s="32" t="str">
        <x:v>No</x:v>
      </x:c>
      <x:c r="AF17" s="32" t="str">
        <x:v>interview_assets/profile/slot_3.png</x:v>
      </x:c>
      <x:c r="AG17" s="32" t="str">
        <x:v>Complete</x:v>
      </x:c>
      <x:c r="AH17" s="32" t="n">
        <x:v>6</x:v>
      </x:c>
      <x:c r="AI17" s="32" t="n">
        <x:v>1</x:v>
      </x:c>
      <x:c r="AJ17" s="32" t="n">
        <x:v>0</x:v>
      </x:c>
      <x:c r="AK17" s="32" t="n">
        <x:v>3</x:v>
      </x:c>
      <x:c r="AL17" s="32" t="n">
        <x:v>0</x:v>
      </x:c>
      <x:c r="AM17" s="32" t="n">
        <x:v>1</x:v>
      </x:c>
      <x:c r="AN17" s="32" t="str">
        <x:v>Yes</x:v>
      </x:c>
      <x:c r="AO17" s="32" t="str">
        <x:v>BATCH-ACC-D2</x:v>
      </x:c>
      <x:c r="AP17" s="33" t="str">
        <x:v>Matched</x:v>
      </x:c>
    </x:row>
    <x:row r="18">
      <x:c r="A18" s="49" t="n">
        <x:v>46225</x:v>
      </x:c>
      <x:c r="B18" s="32" t="str">
        <x:v>20:30</x:v>
      </x:c>
      <x:c r="C18" s="32" t="str">
        <x:v>Account Slot 4</x:v>
      </x:c>
      <x:c r="D18" s="32" t="str">
        <x:v>A</x:v>
      </x:c>
      <x:c r="E18" s="32" t="str">
        <x:v>Active</x:v>
      </x:c>
      <x:c r="F18" s="32" t="n">
        <x:v>2</x:v>
      </x:c>
      <x:c r="G18" s="32" t="n">
        <x:v>2</x:v>
      </x:c>
      <x:c r="H18" s="32" t="n">
        <x:v>0</x:v>
      </x:c>
      <x:c r="I18" s="32" t="n">
        <x:v>149</x:v>
      </x:c>
      <x:c r="J18" s="32" t="n">
        <x:v>84</x:v>
      </x:c>
      <x:c r="K18" s="32" t="n">
        <x:v>947</x:v>
      </x:c>
      <x:c r="L18" s="32" t="n">
        <x:v>3</x:v>
      </x:c>
      <x:c r="M18" s="32" t="n">
        <x:v>17</x:v>
      </x:c>
      <x:c r="N18" s="32" t="n">
        <x:v>3</x:v>
      </x:c>
      <x:c r="O18" s="32" t="str">
        <x:v>viewer_case_2_4</x:v>
      </x:c>
      <x:c r="P18" s="32" t="str">
        <x:v>Complete</x:v>
      </x:c>
      <x:c r="Q18" s="32" t="n">
        <x:v>1</x:v>
      </x:c>
      <x:c r="R18" s="32" t="str">
        <x:v>follower_case_2_4</x:v>
      </x:c>
      <x:c r="S18" s="32" t="str">
        <x:v>Complete</x:v>
      </x:c>
      <x:c r="T18" s="32" t="str">
        <x:v>No</x:v>
      </x:c>
      <x:c r="U18" s="32" t="str">
        <x:v>No</x:v>
      </x:c>
      <x:c r="V18" s="32" t="str"/>
      <x:c r="W18" s="32" t="str">
        <x:v>EVG-ACC-2-4</x:v>
      </x:c>
      <x:c r="X18" s="32" t="str">
        <x:v>Interview Candidate</x:v>
      </x:c>
      <x:c r="Y18" s="32" t="str">
        <x:v>Pass</x:v>
      </x:c>
      <x:c r="Z18" s="32" t="str">
        <x:v>Synthetic daily snapshot</x:v>
      </x:c>
      <x:c r="AA18" s="32" t="str">
        <x:v>Core</x:v>
      </x:c>
      <x:c r="AB18" s="32" t="str">
        <x:v>N/A</x:v>
      </x:c>
      <x:c r="AC18" s="32" t="str">
        <x:v>Styled</x:v>
      </x:c>
      <x:c r="AD18" s="32" t="str">
        <x:v>Synthetic bio 4</x:v>
      </x:c>
      <x:c r="AE18" s="32" t="str">
        <x:v>No</x:v>
      </x:c>
      <x:c r="AF18" s="32" t="str">
        <x:v>interview_assets/profile/slot_4.png</x:v>
      </x:c>
      <x:c r="AG18" s="32" t="str">
        <x:v>Complete</x:v>
      </x:c>
      <x:c r="AH18" s="32" t="n">
        <x:v>3</x:v>
      </x:c>
      <x:c r="AI18" s="32" t="n">
        <x:v>0</x:v>
      </x:c>
      <x:c r="AJ18" s="32" t="n">
        <x:v>0</x:v>
      </x:c>
      <x:c r="AK18" s="32" t="n">
        <x:v>0</x:v>
      </x:c>
      <x:c r="AL18" s="32" t="n">
        <x:v>1</x:v>
      </x:c>
      <x:c r="AM18" s="32" t="n">
        <x:v>0</x:v>
      </x:c>
      <x:c r="AN18" s="32" t="str">
        <x:v>Yes</x:v>
      </x:c>
      <x:c r="AO18" s="32" t="str">
        <x:v>BATCH-ACC-D2</x:v>
      </x:c>
      <x:c r="AP18" s="33" t="str">
        <x:v>Matched</x:v>
      </x:c>
    </x:row>
    <x:row r="19">
      <x:c r="A19" s="49" t="n">
        <x:v>46225</x:v>
      </x:c>
      <x:c r="B19" s="32" t="str">
        <x:v>20:30</x:v>
      </x:c>
      <x:c r="C19" s="32" t="str">
        <x:v>Account Slot 5</x:v>
      </x:c>
      <x:c r="D19" s="32" t="str">
        <x:v>A</x:v>
      </x:c>
      <x:c r="E19" s="32" t="str">
        <x:v>Active</x:v>
      </x:c>
      <x:c r="F19" s="32" t="n">
        <x:v>2</x:v>
      </x:c>
      <x:c r="G19" s="32" t="n">
        <x:v>2</x:v>
      </x:c>
      <x:c r="H19" s="32" t="n">
        <x:v>0</x:v>
      </x:c>
      <x:c r="I19" s="32" t="n">
        <x:v>156</x:v>
      </x:c>
      <x:c r="J19" s="32" t="n">
        <x:v>85</x:v>
      </x:c>
      <x:c r="K19" s="32" t="n">
        <x:v>958</x:v>
      </x:c>
      <x:c r="L19" s="32" t="n">
        <x:v>4</x:v>
      </x:c>
      <x:c r="M19" s="32" t="n">
        <x:v>18</x:v>
      </x:c>
      <x:c r="N19" s="32" t="n">
        <x:v>4</x:v>
      </x:c>
      <x:c r="O19" s="32" t="str">
        <x:v>viewer_case_2_5</x:v>
      </x:c>
      <x:c r="P19" s="32" t="str">
        <x:v>Complete</x:v>
      </x:c>
      <x:c r="Q19" s="32" t="n">
        <x:v>2</x:v>
      </x:c>
      <x:c r="R19" s="32" t="str">
        <x:v>follower_case_2_5</x:v>
      </x:c>
      <x:c r="S19" s="32" t="str">
        <x:v>Complete</x:v>
      </x:c>
      <x:c r="T19" s="32" t="str">
        <x:v>No</x:v>
      </x:c>
      <x:c r="U19" s="32" t="str">
        <x:v>No</x:v>
      </x:c>
      <x:c r="V19" s="32" t="str"/>
      <x:c r="W19" s="32" t="str">
        <x:v>EVG-ACC-2-5</x:v>
      </x:c>
      <x:c r="X19" s="32" t="str">
        <x:v>Interview Candidate</x:v>
      </x:c>
      <x:c r="Y19" s="32" t="str">
        <x:v>Pass</x:v>
      </x:c>
      <x:c r="Z19" s="32" t="str">
        <x:v>Synthetic daily snapshot</x:v>
      </x:c>
      <x:c r="AA19" s="32" t="str">
        <x:v>Core</x:v>
      </x:c>
      <x:c r="AB19" s="32" t="str">
        <x:v>N/A</x:v>
      </x:c>
      <x:c r="AC19" s="32" t="str">
        <x:v>Neutral</x:v>
      </x:c>
      <x:c r="AD19" s="32" t="str">
        <x:v>Synthetic bio 5</x:v>
      </x:c>
      <x:c r="AE19" s="32" t="str">
        <x:v>No</x:v>
      </x:c>
      <x:c r="AF19" s="32" t="str">
        <x:v>interview_assets/profile/slot_5.png</x:v>
      </x:c>
      <x:c r="AG19" s="32" t="str">
        <x:v>Complete</x:v>
      </x:c>
      <x:c r="AH19" s="32" t="n">
        <x:v>4</x:v>
      </x:c>
      <x:c r="AI19" s="32" t="n">
        <x:v>1</x:v>
      </x:c>
      <x:c r="AJ19" s="32" t="n">
        <x:v>0</x:v>
      </x:c>
      <x:c r="AK19" s="32" t="n">
        <x:v>1</x:v>
      </x:c>
      <x:c r="AL19" s="32" t="n">
        <x:v>2</x:v>
      </x:c>
      <x:c r="AM19" s="32" t="n">
        <x:v>1</x:v>
      </x:c>
      <x:c r="AN19" s="32" t="str">
        <x:v>Yes</x:v>
      </x:c>
      <x:c r="AO19" s="32" t="str">
        <x:v>BATCH-ACC-D2</x:v>
      </x:c>
      <x:c r="AP19" s="33" t="str">
        <x:v>Matched</x:v>
      </x:c>
    </x:row>
    <x:row r="20">
      <x:c r="A20" s="49" t="n">
        <x:v>46225</x:v>
      </x:c>
      <x:c r="B20" s="32" t="str">
        <x:v>20:30</x:v>
      </x:c>
      <x:c r="C20" s="32" t="str">
        <x:v>Account Slot 6</x:v>
      </x:c>
      <x:c r="D20" s="32" t="str">
        <x:v>B</x:v>
      </x:c>
      <x:c r="E20" s="32" t="str">
        <x:v>Active</x:v>
      </x:c>
      <x:c r="F20" s="32" t="n">
        <x:v>3</x:v>
      </x:c>
      <x:c r="G20" s="32" t="n">
        <x:v>0</x:v>
      </x:c>
      <x:c r="H20" s="32" t="n">
        <x:v>0</x:v>
      </x:c>
      <x:c r="I20" s="32" t="n">
        <x:v>163</x:v>
      </x:c>
      <x:c r="J20" s="32" t="n">
        <x:v>86</x:v>
      </x:c>
      <x:c r="K20" s="32" t="n">
        <x:v>969</x:v>
      </x:c>
      <x:c r="L20" s="32" t="n">
        <x:v>5</x:v>
      </x:c>
      <x:c r="M20" s="32" t="n">
        <x:v>19</x:v>
      </x:c>
      <x:c r="N20" s="32" t="n">
        <x:v>2</x:v>
      </x:c>
      <x:c r="O20" s="32" t="str">
        <x:v>viewer_case_2_6</x:v>
      </x:c>
      <x:c r="P20" s="32" t="str">
        <x:v>Complete</x:v>
      </x:c>
      <x:c r="Q20" s="32" t="n">
        <x:v>0</x:v>
      </x:c>
      <x:c r="R20" s="32" t="str">
        <x:v>follower_case_2_6</x:v>
      </x:c>
      <x:c r="S20" s="32" t="str">
        <x:v>Complete</x:v>
      </x:c>
      <x:c r="T20" s="32" t="str">
        <x:v>No</x:v>
      </x:c>
      <x:c r="U20" s="32" t="str">
        <x:v>No</x:v>
      </x:c>
      <x:c r="V20" s="32" t="str"/>
      <x:c r="W20" s="32" t="str">
        <x:v>EVG-ACC-2-6</x:v>
      </x:c>
      <x:c r="X20" s="32" t="str">
        <x:v>Interview Candidate</x:v>
      </x:c>
      <x:c r="Y20" s="32" t="str">
        <x:v>Pass</x:v>
      </x:c>
      <x:c r="Z20" s="32" t="str">
        <x:v>Synthetic daily snapshot</x:v>
      </x:c>
      <x:c r="AA20" s="32" t="str">
        <x:v>Advanced</x:v>
      </x:c>
      <x:c r="AB20" s="32" t="str">
        <x:v>N/A</x:v>
      </x:c>
      <x:c r="AC20" s="32" t="str">
        <x:v>Styled</x:v>
      </x:c>
      <x:c r="AD20" s="32" t="str">
        <x:v>Synthetic bio 6</x:v>
      </x:c>
      <x:c r="AE20" s="32" t="str">
        <x:v>No</x:v>
      </x:c>
      <x:c r="AF20" s="32" t="str">
        <x:v>interview_assets/profile/slot_6.png</x:v>
      </x:c>
      <x:c r="AG20" s="32" t="str">
        <x:v>Complete</x:v>
      </x:c>
      <x:c r="AH20" s="32" t="n">
        <x:v>5</x:v>
      </x:c>
      <x:c r="AI20" s="32" t="n">
        <x:v>0</x:v>
      </x:c>
      <x:c r="AJ20" s="32" t="n">
        <x:v>0</x:v>
      </x:c>
      <x:c r="AK20" s="32" t="n">
        <x:v>2</x:v>
      </x:c>
      <x:c r="AL20" s="32" t="n">
        <x:v>0</x:v>
      </x:c>
      <x:c r="AM20" s="32" t="n">
        <x:v>0</x:v>
      </x:c>
      <x:c r="AN20" s="32" t="str">
        <x:v>Yes</x:v>
      </x:c>
      <x:c r="AO20" s="32" t="str">
        <x:v>BATCH-ACC-D2</x:v>
      </x:c>
      <x:c r="AP20" s="33" t="str">
        <x:v>Matched</x:v>
      </x:c>
    </x:row>
    <x:row r="21">
      <x:c r="A21" s="49" t="n">
        <x:v>46225</x:v>
      </x:c>
      <x:c r="B21" s="32" t="str">
        <x:v>20:30</x:v>
      </x:c>
      <x:c r="C21" s="32" t="str">
        <x:v>Account Slot 7</x:v>
      </x:c>
      <x:c r="D21" s="32" t="str">
        <x:v>B</x:v>
      </x:c>
      <x:c r="E21" s="32" t="str">
        <x:v>Active</x:v>
      </x:c>
      <x:c r="F21" s="32" t="n">
        <x:v>3</x:v>
      </x:c>
      <x:c r="G21" s="32" t="n">
        <x:v>3</x:v>
      </x:c>
      <x:c r="H21" s="32" t="n">
        <x:v>1</x:v>
      </x:c>
      <x:c r="I21" s="32" t="n">
        <x:v>170</x:v>
      </x:c>
      <x:c r="J21" s="32" t="n">
        <x:v>87</x:v>
      </x:c>
      <x:c r="K21" s="32" t="n">
        <x:v>980</x:v>
      </x:c>
      <x:c r="L21" s="32" t="n">
        <x:v>6</x:v>
      </x:c>
      <x:c r="M21" s="32" t="n">
        <x:v>20</x:v>
      </x:c>
      <x:c r="N21" s="32" t="n">
        <x:v>3</x:v>
      </x:c>
      <x:c r="O21" s="32" t="str">
        <x:v>viewer_case_2_7</x:v>
      </x:c>
      <x:c r="P21" s="32" t="str">
        <x:v>Complete</x:v>
      </x:c>
      <x:c r="Q21" s="32" t="n">
        <x:v>1</x:v>
      </x:c>
      <x:c r="R21" s="32" t="str">
        <x:v>follower_case_2_7</x:v>
      </x:c>
      <x:c r="S21" s="32" t="str">
        <x:v>Complete</x:v>
      </x:c>
      <x:c r="T21" s="32" t="str">
        <x:v>Yes</x:v>
      </x:c>
      <x:c r="U21" s="32" t="str">
        <x:v>No</x:v>
      </x:c>
      <x:c r="V21" s="32" t="str"/>
      <x:c r="W21" s="32" t="str">
        <x:v>EVG-ACC-2-7</x:v>
      </x:c>
      <x:c r="X21" s="32" t="str">
        <x:v>Interview Candidate</x:v>
      </x:c>
      <x:c r="Y21" s="32" t="str">
        <x:v>Pass</x:v>
      </x:c>
      <x:c r="Z21" s="32" t="str">
        <x:v>Synthetic daily snapshot</x:v>
      </x:c>
      <x:c r="AA21" s="32" t="str">
        <x:v>Advanced</x:v>
      </x:c>
      <x:c r="AB21" s="32" t="str">
        <x:v>N/A</x:v>
      </x:c>
      <x:c r="AC21" s="32" t="str">
        <x:v>Neutral</x:v>
      </x:c>
      <x:c r="AD21" s="32" t="str">
        <x:v>Synthetic bio 7</x:v>
      </x:c>
      <x:c r="AE21" s="32" t="str">
        <x:v>No</x:v>
      </x:c>
      <x:c r="AF21" s="32" t="str">
        <x:v>interview_assets/profile/slot_7.png</x:v>
      </x:c>
      <x:c r="AG21" s="32" t="str">
        <x:v>Complete</x:v>
      </x:c>
      <x:c r="AH21" s="32" t="n">
        <x:v>6</x:v>
      </x:c>
      <x:c r="AI21" s="32" t="n">
        <x:v>1</x:v>
      </x:c>
      <x:c r="AJ21" s="32" t="n">
        <x:v>0</x:v>
      </x:c>
      <x:c r="AK21" s="32" t="n">
        <x:v>3</x:v>
      </x:c>
      <x:c r="AL21" s="32" t="n">
        <x:v>1</x:v>
      </x:c>
      <x:c r="AM21" s="32" t="n">
        <x:v>1</x:v>
      </x:c>
      <x:c r="AN21" s="32" t="str">
        <x:v>Yes</x:v>
      </x:c>
      <x:c r="AO21" s="32" t="str">
        <x:v>BATCH-ACC-D2</x:v>
      </x:c>
      <x:c r="AP21" s="33" t="str">
        <x:v>Matched</x:v>
      </x:c>
    </x:row>
    <x:row r="22">
      <x:c r="A22" s="49" t="n">
        <x:v>46225</x:v>
      </x:c>
      <x:c r="B22" s="32" t="str">
        <x:v>20:30</x:v>
      </x:c>
      <x:c r="C22" s="32" t="str">
        <x:v>Account Slot 8</x:v>
      </x:c>
      <x:c r="D22" s="32" t="str">
        <x:v>B</x:v>
      </x:c>
      <x:c r="E22" s="32" t="str">
        <x:v>Active</x:v>
      </x:c>
      <x:c r="F22" s="32" t="n">
        <x:v>3</x:v>
      </x:c>
      <x:c r="G22" s="32" t="n">
        <x:v>3</x:v>
      </x:c>
      <x:c r="H22" s="32" t="n">
        <x:v>0</x:v>
      </x:c>
      <x:c r="I22" s="32" t="n">
        <x:v>177</x:v>
      </x:c>
      <x:c r="J22" s="32" t="n">
        <x:v>88</x:v>
      </x:c>
      <x:c r="K22" s="32" t="n">
        <x:v>991</x:v>
      </x:c>
      <x:c r="L22" s="32" t="n">
        <x:v>3</x:v>
      </x:c>
      <x:c r="M22" s="32" t="n">
        <x:v>21</x:v>
      </x:c>
      <x:c r="N22" s="32" t="n">
        <x:v>4</x:v>
      </x:c>
      <x:c r="O22" s="32" t="str">
        <x:v>viewer_case_2_8</x:v>
      </x:c>
      <x:c r="P22" s="32" t="str">
        <x:v>Complete</x:v>
      </x:c>
      <x:c r="Q22" s="32" t="n">
        <x:v>2</x:v>
      </x:c>
      <x:c r="R22" s="32" t="str">
        <x:v>follower_case_2_8</x:v>
      </x:c>
      <x:c r="S22" s="32" t="str">
        <x:v>Complete</x:v>
      </x:c>
      <x:c r="T22" s="32" t="str">
        <x:v>No</x:v>
      </x:c>
      <x:c r="U22" s="32" t="str">
        <x:v>No</x:v>
      </x:c>
      <x:c r="V22" s="32" t="str"/>
      <x:c r="W22" s="32" t="str">
        <x:v>EVG-ACC-2-8</x:v>
      </x:c>
      <x:c r="X22" s="32" t="str">
        <x:v>Interview Candidate</x:v>
      </x:c>
      <x:c r="Y22" s="32" t="str">
        <x:v>Pass</x:v>
      </x:c>
      <x:c r="Z22" s="32" t="str">
        <x:v>Synthetic daily snapshot</x:v>
      </x:c>
      <x:c r="AA22" s="32" t="str">
        <x:v>Advanced</x:v>
      </x:c>
      <x:c r="AB22" s="32" t="str">
        <x:v>N/A</x:v>
      </x:c>
      <x:c r="AC22" s="32" t="str">
        <x:v>Styled</x:v>
      </x:c>
      <x:c r="AD22" s="32" t="str">
        <x:v>Synthetic bio 8</x:v>
      </x:c>
      <x:c r="AE22" s="32" t="str">
        <x:v>No</x:v>
      </x:c>
      <x:c r="AF22" s="32" t="str">
        <x:v>interview_assets/profile/slot_8.png</x:v>
      </x:c>
      <x:c r="AG22" s="32" t="str">
        <x:v>Complete</x:v>
      </x:c>
      <x:c r="AH22" s="32" t="n">
        <x:v>3</x:v>
      </x:c>
      <x:c r="AI22" s="32" t="n">
        <x:v>0</x:v>
      </x:c>
      <x:c r="AJ22" s="32" t="n">
        <x:v>0</x:v>
      </x:c>
      <x:c r="AK22" s="32" t="n">
        <x:v>0</x:v>
      </x:c>
      <x:c r="AL22" s="32" t="n">
        <x:v>2</x:v>
      </x:c>
      <x:c r="AM22" s="32" t="n">
        <x:v>0</x:v>
      </x:c>
      <x:c r="AN22" s="32" t="str">
        <x:v>Yes</x:v>
      </x:c>
      <x:c r="AO22" s="32" t="str">
        <x:v>BATCH-ACC-D2</x:v>
      </x:c>
      <x:c r="AP22" s="33" t="str">
        <x:v>Matched</x:v>
      </x:c>
    </x:row>
    <x:row r="23">
      <x:c r="A23" s="49" t="n">
        <x:v>46225</x:v>
      </x:c>
      <x:c r="B23" s="32" t="str">
        <x:v>20:30</x:v>
      </x:c>
      <x:c r="C23" s="32" t="str">
        <x:v>Account Slot 9</x:v>
      </x:c>
      <x:c r="D23" s="32" t="str">
        <x:v>B</x:v>
      </x:c>
      <x:c r="E23" s="32" t="str">
        <x:v>Active</x:v>
      </x:c>
      <x:c r="F23" s="32" t="n">
        <x:v>3</x:v>
      </x:c>
      <x:c r="G23" s="32" t="n">
        <x:v>3</x:v>
      </x:c>
      <x:c r="H23" s="32" t="n">
        <x:v>1</x:v>
      </x:c>
      <x:c r="I23" s="32" t="n">
        <x:v>184</x:v>
      </x:c>
      <x:c r="J23" s="32" t="n">
        <x:v>89</x:v>
      </x:c>
      <x:c r="K23" s="32" t="n">
        <x:v>1002</x:v>
      </x:c>
      <x:c r="L23" s="32" t="n">
        <x:v>4</x:v>
      </x:c>
      <x:c r="M23" s="32" t="n">
        <x:v>22</x:v>
      </x:c>
      <x:c r="N23" s="32" t="n">
        <x:v>2</x:v>
      </x:c>
      <x:c r="O23" s="32" t="str">
        <x:v>viewer_case_2_9</x:v>
      </x:c>
      <x:c r="P23" s="32" t="str">
        <x:v>Complete</x:v>
      </x:c>
      <x:c r="Q23" s="32" t="n">
        <x:v>0</x:v>
      </x:c>
      <x:c r="R23" s="32" t="str">
        <x:v>follower_case_2_9</x:v>
      </x:c>
      <x:c r="S23" s="32" t="str">
        <x:v>Complete</x:v>
      </x:c>
      <x:c r="T23" s="32" t="str">
        <x:v>Yes</x:v>
      </x:c>
      <x:c r="U23" s="32" t="str">
        <x:v>No</x:v>
      </x:c>
      <x:c r="V23" s="32" t="str"/>
      <x:c r="W23" s="32" t="str">
        <x:v>EVG-ACC-2-9</x:v>
      </x:c>
      <x:c r="X23" s="32" t="str">
        <x:v>Interview Candidate</x:v>
      </x:c>
      <x:c r="Y23" s="32" t="str">
        <x:v>Pass</x:v>
      </x:c>
      <x:c r="Z23" s="32" t="str">
        <x:v>Synthetic daily snapshot</x:v>
      </x:c>
      <x:c r="AA23" s="32" t="str">
        <x:v>Advanced</x:v>
      </x:c>
      <x:c r="AB23" s="32" t="str">
        <x:v>N/A</x:v>
      </x:c>
      <x:c r="AC23" s="32" t="str">
        <x:v>Neutral</x:v>
      </x:c>
      <x:c r="AD23" s="32" t="str">
        <x:v>Synthetic bio 9</x:v>
      </x:c>
      <x:c r="AE23" s="32" t="str">
        <x:v>No</x:v>
      </x:c>
      <x:c r="AF23" s="32" t="str">
        <x:v>interview_assets/profile/slot_9.png</x:v>
      </x:c>
      <x:c r="AG23" s="32" t="str">
        <x:v>Complete</x:v>
      </x:c>
      <x:c r="AH23" s="32" t="n">
        <x:v>4</x:v>
      </x:c>
      <x:c r="AI23" s="32" t="n">
        <x:v>1</x:v>
      </x:c>
      <x:c r="AJ23" s="32" t="n">
        <x:v>0</x:v>
      </x:c>
      <x:c r="AK23" s="32" t="n">
        <x:v>1</x:v>
      </x:c>
      <x:c r="AL23" s="32" t="n">
        <x:v>0</x:v>
      </x:c>
      <x:c r="AM23" s="32" t="n">
        <x:v>1</x:v>
      </x:c>
      <x:c r="AN23" s="32" t="str">
        <x:v>Yes</x:v>
      </x:c>
      <x:c r="AO23" s="32" t="str">
        <x:v>BATCH-ACC-D2</x:v>
      </x:c>
      <x:c r="AP23" s="33" t="str">
        <x:v>Matched</x:v>
      </x:c>
    </x:row>
    <x:row r="24">
      <x:c r="A24" s="49" t="n">
        <x:v>46225</x:v>
      </x:c>
      <x:c r="B24" s="32" t="str">
        <x:v>20:30</x:v>
      </x:c>
      <x:c r="C24" s="32" t="str">
        <x:v>Account Slot 10</x:v>
      </x:c>
      <x:c r="D24" s="32" t="str">
        <x:v>B</x:v>
      </x:c>
      <x:c r="E24" s="32" t="str">
        <x:v>Active</x:v>
      </x:c>
      <x:c r="F24" s="32" t="n">
        <x:v>3</x:v>
      </x:c>
      <x:c r="G24" s="32" t="n">
        <x:v>3</x:v>
      </x:c>
      <x:c r="H24" s="32" t="n">
        <x:v>2</x:v>
      </x:c>
      <x:c r="I24" s="32" t="n">
        <x:v>191</x:v>
      </x:c>
      <x:c r="J24" s="32" t="n">
        <x:v>90</x:v>
      </x:c>
      <x:c r="K24" s="32" t="n">
        <x:v>1013</x:v>
      </x:c>
      <x:c r="L24" s="32" t="n">
        <x:v>5</x:v>
      </x:c>
      <x:c r="M24" s="32" t="n">
        <x:v>23</x:v>
      </x:c>
      <x:c r="N24" s="32" t="n">
        <x:v>3</x:v>
      </x:c>
      <x:c r="O24" s="32" t="str">
        <x:v>viewer_case_2_10</x:v>
      </x:c>
      <x:c r="P24" s="32" t="str">
        <x:v>Complete</x:v>
      </x:c>
      <x:c r="Q24" s="32" t="n">
        <x:v>1</x:v>
      </x:c>
      <x:c r="R24" s="32" t="str">
        <x:v>follower_case_2_10</x:v>
      </x:c>
      <x:c r="S24" s="32" t="str">
        <x:v>Complete</x:v>
      </x:c>
      <x:c r="T24" s="32" t="str">
        <x:v>Yes</x:v>
      </x:c>
      <x:c r="U24" s="32" t="str">
        <x:v>No</x:v>
      </x:c>
      <x:c r="V24" s="32" t="str"/>
      <x:c r="W24" s="32" t="str">
        <x:v>EVG-ACC-2-10</x:v>
      </x:c>
      <x:c r="X24" s="32" t="str">
        <x:v>Interview Candidate</x:v>
      </x:c>
      <x:c r="Y24" s="32" t="str">
        <x:v>Pass</x:v>
      </x:c>
      <x:c r="Z24" s="32" t="str">
        <x:v>Synthetic daily snapshot</x:v>
      </x:c>
      <x:c r="AA24" s="32" t="str">
        <x:v>Advanced</x:v>
      </x:c>
      <x:c r="AB24" s="32" t="str">
        <x:v>N/A</x:v>
      </x:c>
      <x:c r="AC24" s="32" t="str">
        <x:v>Styled</x:v>
      </x:c>
      <x:c r="AD24" s="32" t="str">
        <x:v>Synthetic bio 10</x:v>
      </x:c>
      <x:c r="AE24" s="32" t="str">
        <x:v>No</x:v>
      </x:c>
      <x:c r="AF24" s="32" t="str">
        <x:v>interview_assets/profile/slot_10.png</x:v>
      </x:c>
      <x:c r="AG24" s="32" t="str">
        <x:v>Complete</x:v>
      </x:c>
      <x:c r="AH24" s="32" t="n">
        <x:v>5</x:v>
      </x:c>
      <x:c r="AI24" s="32" t="n">
        <x:v>0</x:v>
      </x:c>
      <x:c r="AJ24" s="32" t="n">
        <x:v>0</x:v>
      </x:c>
      <x:c r="AK24" s="32" t="n">
        <x:v>2</x:v>
      </x:c>
      <x:c r="AL24" s="32" t="n">
        <x:v>1</x:v>
      </x:c>
      <x:c r="AM24" s="32" t="n">
        <x:v>0</x:v>
      </x:c>
      <x:c r="AN24" s="32" t="str">
        <x:v>Yes</x:v>
      </x:c>
      <x:c r="AO24" s="32" t="str">
        <x:v>BATCH-ACC-D2</x:v>
      </x:c>
      <x:c r="AP24" s="33" t="str">
        <x:v>Matched</x:v>
      </x:c>
    </x:row>
    <x:row r="25">
      <x:c r="A25" s="49" t="n">
        <x:v>46226</x:v>
      </x:c>
      <x:c r="B25" s="32" t="str">
        <x:v>20:30</x:v>
      </x:c>
      <x:c r="C25" s="32" t="str">
        <x:v>Account Slot 1</x:v>
      </x:c>
      <x:c r="D25" s="32" t="str">
        <x:v>A</x:v>
      </x:c>
      <x:c r="E25" s="32" t="str">
        <x:v>Active</x:v>
      </x:c>
      <x:c r="F25" s="32" t="n">
        <x:v>3</x:v>
      </x:c>
      <x:c r="G25" s="32" t="n">
        <x:v>0</x:v>
      </x:c>
      <x:c r="H25" s="32" t="n">
        <x:v>0</x:v>
      </x:c>
      <x:c r="I25" s="32" t="n">
        <x:v>129</x:v>
      </x:c>
      <x:c r="J25" s="32" t="n">
        <x:v>81</x:v>
      </x:c>
      <x:c r="K25" s="32" t="n">
        <x:v>917</x:v>
      </x:c>
      <x:c r="L25" s="32" t="n">
        <x:v>4</x:v>
      </x:c>
      <x:c r="M25" s="32" t="n">
        <x:v>15</x:v>
      </x:c>
      <x:c r="N25" s="32" t="n">
        <x:v>3</x:v>
      </x:c>
      <x:c r="O25" s="32" t="str">
        <x:v>viewer_case_3_1</x:v>
      </x:c>
      <x:c r="P25" s="32" t="str">
        <x:v>Complete</x:v>
      </x:c>
      <x:c r="Q25" s="32" t="n">
        <x:v>1</x:v>
      </x:c>
      <x:c r="R25" s="32" t="str">
        <x:v>follower_case_3_1</x:v>
      </x:c>
      <x:c r="S25" s="32" t="str">
        <x:v>Complete</x:v>
      </x:c>
      <x:c r="T25" s="32" t="str">
        <x:v>No</x:v>
      </x:c>
      <x:c r="U25" s="32" t="str">
        <x:v>No</x:v>
      </x:c>
      <x:c r="V25" s="32" t="str"/>
      <x:c r="W25" s="32" t="str">
        <x:v>EVG-ACC-3-1</x:v>
      </x:c>
      <x:c r="X25" s="32" t="str">
        <x:v>Interview Candidate</x:v>
      </x:c>
      <x:c r="Y25" s="32" t="str">
        <x:v>Pass</x:v>
      </x:c>
      <x:c r="Z25" s="32" t="str">
        <x:v>Synthetic daily snapshot</x:v>
      </x:c>
      <x:c r="AA25" s="32" t="str">
        <x:v>Core</x:v>
      </x:c>
      <x:c r="AB25" s="32" t="str">
        <x:v>N/A</x:v>
      </x:c>
      <x:c r="AC25" s="32" t="str">
        <x:v>Neutral</x:v>
      </x:c>
      <x:c r="AD25" s="32" t="str">
        <x:v>Synthetic bio 1</x:v>
      </x:c>
      <x:c r="AE25" s="32" t="str">
        <x:v>No</x:v>
      </x:c>
      <x:c r="AF25" s="32" t="str">
        <x:v>interview_assets/profile/slot_1.png</x:v>
      </x:c>
      <x:c r="AG25" s="32" t="str">
        <x:v>Complete</x:v>
      </x:c>
      <x:c r="AH25" s="32" t="n">
        <x:v>4</x:v>
      </x:c>
      <x:c r="AI25" s="32" t="n">
        <x:v>1</x:v>
      </x:c>
      <x:c r="AJ25" s="32" t="n">
        <x:v>0</x:v>
      </x:c>
      <x:c r="AK25" s="32" t="n">
        <x:v>1</x:v>
      </x:c>
      <x:c r="AL25" s="32" t="n">
        <x:v>1</x:v>
      </x:c>
      <x:c r="AM25" s="32" t="n">
        <x:v>1</x:v>
      </x:c>
      <x:c r="AN25" s="32" t="str">
        <x:v>Yes</x:v>
      </x:c>
      <x:c r="AO25" s="32" t="str">
        <x:v>BATCH-ACC-D3</x:v>
      </x:c>
      <x:c r="AP25" s="33" t="str">
        <x:v>Matched</x:v>
      </x:c>
    </x:row>
    <x:row r="26">
      <x:c r="A26" s="49" t="n">
        <x:v>46226</x:v>
      </x:c>
      <x:c r="B26" s="32" t="str">
        <x:v>20:30</x:v>
      </x:c>
      <x:c r="C26" s="32" t="str">
        <x:v>Account Slot 2</x:v>
      </x:c>
      <x:c r="D26" s="32" t="str">
        <x:v>A</x:v>
      </x:c>
      <x:c r="E26" s="32" t="str">
        <x:v>Active</x:v>
      </x:c>
      <x:c r="F26" s="32" t="n">
        <x:v>3</x:v>
      </x:c>
      <x:c r="G26" s="32" t="n">
        <x:v>3</x:v>
      </x:c>
      <x:c r="H26" s="32" t="n">
        <x:v>0</x:v>
      </x:c>
      <x:c r="I26" s="32" t="n">
        <x:v>136</x:v>
      </x:c>
      <x:c r="J26" s="32" t="n">
        <x:v>82</x:v>
      </x:c>
      <x:c r="K26" s="32" t="n">
        <x:v>928</x:v>
      </x:c>
      <x:c r="L26" s="32" t="n">
        <x:v>5</x:v>
      </x:c>
      <x:c r="M26" s="32" t="n">
        <x:v>16</x:v>
      </x:c>
      <x:c r="N26" s="32" t="n">
        <x:v>4</x:v>
      </x:c>
      <x:c r="O26" s="32" t="str">
        <x:v>viewer_case_3_2</x:v>
      </x:c>
      <x:c r="P26" s="32" t="str">
        <x:v>Complete</x:v>
      </x:c>
      <x:c r="Q26" s="32" t="n">
        <x:v>2</x:v>
      </x:c>
      <x:c r="R26" s="32" t="str">
        <x:v>follower_case_3_2</x:v>
      </x:c>
      <x:c r="S26" s="32" t="str">
        <x:v>Complete</x:v>
      </x:c>
      <x:c r="T26" s="32" t="str">
        <x:v>No</x:v>
      </x:c>
      <x:c r="U26" s="32" t="str">
        <x:v>No</x:v>
      </x:c>
      <x:c r="V26" s="32" t="str"/>
      <x:c r="W26" s="32" t="str">
        <x:v>EVG-ACC-3-2</x:v>
      </x:c>
      <x:c r="X26" s="32" t="str">
        <x:v>Interview Candidate</x:v>
      </x:c>
      <x:c r="Y26" s="32" t="str">
        <x:v>Pass</x:v>
      </x:c>
      <x:c r="Z26" s="32" t="str">
        <x:v>Synthetic daily snapshot</x:v>
      </x:c>
      <x:c r="AA26" s="32" t="str">
        <x:v>Core</x:v>
      </x:c>
      <x:c r="AB26" s="32" t="str">
        <x:v>N/A</x:v>
      </x:c>
      <x:c r="AC26" s="32" t="str">
        <x:v>Styled</x:v>
      </x:c>
      <x:c r="AD26" s="32" t="str">
        <x:v>Synthetic bio 2</x:v>
      </x:c>
      <x:c r="AE26" s="32" t="str">
        <x:v>No</x:v>
      </x:c>
      <x:c r="AF26" s="32" t="str">
        <x:v>interview_assets/profile/slot_2.png</x:v>
      </x:c>
      <x:c r="AG26" s="32" t="str">
        <x:v>Complete</x:v>
      </x:c>
      <x:c r="AH26" s="32" t="n">
        <x:v>5</x:v>
      </x:c>
      <x:c r="AI26" s="32" t="n">
        <x:v>0</x:v>
      </x:c>
      <x:c r="AJ26" s="32" t="n">
        <x:v>0</x:v>
      </x:c>
      <x:c r="AK26" s="32" t="n">
        <x:v>2</x:v>
      </x:c>
      <x:c r="AL26" s="32" t="n">
        <x:v>2</x:v>
      </x:c>
      <x:c r="AM26" s="32" t="n">
        <x:v>0</x:v>
      </x:c>
      <x:c r="AN26" s="32" t="str">
        <x:v>Yes</x:v>
      </x:c>
      <x:c r="AO26" s="32" t="str">
        <x:v>BATCH-ACC-D3</x:v>
      </x:c>
      <x:c r="AP26" s="33" t="str">
        <x:v>Matched</x:v>
      </x:c>
    </x:row>
    <x:row r="27">
      <x:c r="A27" s="49" t="n">
        <x:v>46226</x:v>
      </x:c>
      <x:c r="B27" s="32" t="str">
        <x:v>20:30</x:v>
      </x:c>
      <x:c r="C27" s="32" t="str">
        <x:v>Account Slot 3</x:v>
      </x:c>
      <x:c r="D27" s="32" t="str">
        <x:v>A</x:v>
      </x:c>
      <x:c r="E27" s="32" t="str">
        <x:v>Active</x:v>
      </x:c>
      <x:c r="F27" s="32" t="n">
        <x:v>3</x:v>
      </x:c>
      <x:c r="G27" s="32" t="n">
        <x:v>2</x:v>
      </x:c>
      <x:c r="H27" s="32" t="n">
        <x:v>1</x:v>
      </x:c>
      <x:c r="I27" s="32" t="n">
        <x:v>143</x:v>
      </x:c>
      <x:c r="J27" s="32" t="n">
        <x:v>83</x:v>
      </x:c>
      <x:c r="K27" s="32" t="n">
        <x:v>939</x:v>
      </x:c>
      <x:c r="L27" s="32" t="n">
        <x:v>6</x:v>
      </x:c>
      <x:c r="M27" s="32" t="n">
        <x:v>17</x:v>
      </x:c>
      <x:c r="N27" s="32" t="n">
        <x:v>2</x:v>
      </x:c>
      <x:c r="O27" s="32" t="str">
        <x:v>viewer_case_3_3</x:v>
      </x:c>
      <x:c r="P27" s="32" t="str">
        <x:v>Complete</x:v>
      </x:c>
      <x:c r="Q27" s="32" t="n">
        <x:v>0</x:v>
      </x:c>
      <x:c r="R27" s="32" t="str">
        <x:v>follower_case_3_3</x:v>
      </x:c>
      <x:c r="S27" s="32" t="str">
        <x:v>Complete</x:v>
      </x:c>
      <x:c r="T27" s="32" t="str">
        <x:v>Yes</x:v>
      </x:c>
      <x:c r="U27" s="32" t="str">
        <x:v>No</x:v>
      </x:c>
      <x:c r="V27" s="32" t="str"/>
      <x:c r="W27" s="32" t="str">
        <x:v>EVG-ACC-3-3</x:v>
      </x:c>
      <x:c r="X27" s="32" t="str">
        <x:v>Interview Candidate</x:v>
      </x:c>
      <x:c r="Y27" s="32" t="str">
        <x:v>Pass</x:v>
      </x:c>
      <x:c r="Z27" s="32" t="str">
        <x:v>Synthetic daily snapshot</x:v>
      </x:c>
      <x:c r="AA27" s="32" t="str">
        <x:v>Core</x:v>
      </x:c>
      <x:c r="AB27" s="32" t="str">
        <x:v>N/A</x:v>
      </x:c>
      <x:c r="AC27" s="32" t="str">
        <x:v>Neutral</x:v>
      </x:c>
      <x:c r="AD27" s="32" t="str">
        <x:v>Synthetic bio 3</x:v>
      </x:c>
      <x:c r="AE27" s="32" t="str">
        <x:v>No</x:v>
      </x:c>
      <x:c r="AF27" s="32" t="str">
        <x:v>interview_assets/profile/slot_3.png</x:v>
      </x:c>
      <x:c r="AG27" s="32" t="str">
        <x:v>Complete</x:v>
      </x:c>
      <x:c r="AH27" s="32" t="n">
        <x:v>6</x:v>
      </x:c>
      <x:c r="AI27" s="32" t="n">
        <x:v>1</x:v>
      </x:c>
      <x:c r="AJ27" s="32" t="n">
        <x:v>0</x:v>
      </x:c>
      <x:c r="AK27" s="32" t="n">
        <x:v>3</x:v>
      </x:c>
      <x:c r="AL27" s="32" t="n">
        <x:v>0</x:v>
      </x:c>
      <x:c r="AM27" s="32" t="n">
        <x:v>1</x:v>
      </x:c>
      <x:c r="AN27" s="32" t="str">
        <x:v>Yes</x:v>
      </x:c>
      <x:c r="AO27" s="32" t="str">
        <x:v>BATCH-ACC-D3</x:v>
      </x:c>
      <x:c r="AP27" s="33" t="str">
        <x:v>Matched</x:v>
      </x:c>
    </x:row>
    <x:row r="28">
      <x:c r="A28" s="49" t="n">
        <x:v>46226</x:v>
      </x:c>
      <x:c r="B28" s="32" t="str">
        <x:v>20:30</x:v>
      </x:c>
      <x:c r="C28" s="32" t="str">
        <x:v>Account Slot 4</x:v>
      </x:c>
      <x:c r="D28" s="32" t="str">
        <x:v>A</x:v>
      </x:c>
      <x:c r="E28" s="32" t="str">
        <x:v>Active</x:v>
      </x:c>
      <x:c r="F28" s="32" t="n">
        <x:v>3</x:v>
      </x:c>
      <x:c r="G28" s="32" t="n">
        <x:v>3</x:v>
      </x:c>
      <x:c r="H28" s="32" t="n">
        <x:v>1</x:v>
      </x:c>
      <x:c r="I28" s="32" t="n">
        <x:v>150</x:v>
      </x:c>
      <x:c r="J28" s="32" t="n">
        <x:v>84</x:v>
      </x:c>
      <x:c r="K28" s="32" t="n">
        <x:v>950</x:v>
      </x:c>
      <x:c r="L28" s="32" t="n">
        <x:v>3</x:v>
      </x:c>
      <x:c r="M28" s="32" t="n">
        <x:v>18</x:v>
      </x:c>
      <x:c r="N28" s="32" t="n">
        <x:v>3</x:v>
      </x:c>
      <x:c r="O28" s="32" t="str">
        <x:v>viewer_case_3_4</x:v>
      </x:c>
      <x:c r="P28" s="32" t="str">
        <x:v>Complete</x:v>
      </x:c>
      <x:c r="Q28" s="32" t="n">
        <x:v>1</x:v>
      </x:c>
      <x:c r="R28" s="32" t="str">
        <x:v>follower_case_3_4</x:v>
      </x:c>
      <x:c r="S28" s="32" t="str">
        <x:v>Complete</x:v>
      </x:c>
      <x:c r="T28" s="32" t="str">
        <x:v>Yes</x:v>
      </x:c>
      <x:c r="U28" s="32" t="str">
        <x:v>No</x:v>
      </x:c>
      <x:c r="V28" s="32" t="str"/>
      <x:c r="W28" s="32" t="str">
        <x:v>EVG-ACC-3-4</x:v>
      </x:c>
      <x:c r="X28" s="32" t="str">
        <x:v>Interview Candidate</x:v>
      </x:c>
      <x:c r="Y28" s="32" t="str">
        <x:v>Pass</x:v>
      </x:c>
      <x:c r="Z28" s="32" t="str">
        <x:v>Synthetic daily snapshot</x:v>
      </x:c>
      <x:c r="AA28" s="32" t="str">
        <x:v>Core</x:v>
      </x:c>
      <x:c r="AB28" s="32" t="str">
        <x:v>N/A</x:v>
      </x:c>
      <x:c r="AC28" s="32" t="str">
        <x:v>Styled</x:v>
      </x:c>
      <x:c r="AD28" s="32" t="str">
        <x:v>Synthetic bio 4</x:v>
      </x:c>
      <x:c r="AE28" s="32" t="str">
        <x:v>No</x:v>
      </x:c>
      <x:c r="AF28" s="32" t="str">
        <x:v>interview_assets/profile/slot_4.png</x:v>
      </x:c>
      <x:c r="AG28" s="32" t="str">
        <x:v>Complete</x:v>
      </x:c>
      <x:c r="AH28" s="32" t="n">
        <x:v>3</x:v>
      </x:c>
      <x:c r="AI28" s="32" t="n">
        <x:v>0</x:v>
      </x:c>
      <x:c r="AJ28" s="32" t="n">
        <x:v>0</x:v>
      </x:c>
      <x:c r="AK28" s="32" t="n">
        <x:v>0</x:v>
      </x:c>
      <x:c r="AL28" s="32" t="n">
        <x:v>1</x:v>
      </x:c>
      <x:c r="AM28" s="32" t="n">
        <x:v>0</x:v>
      </x:c>
      <x:c r="AN28" s="32" t="str">
        <x:v>Yes</x:v>
      </x:c>
      <x:c r="AO28" s="32" t="str">
        <x:v>BATCH-ACC-D3</x:v>
      </x:c>
      <x:c r="AP28" s="33" t="str">
        <x:v>Matched</x:v>
      </x:c>
    </x:row>
    <x:row r="29">
      <x:c r="A29" s="49" t="n">
        <x:v>46226</x:v>
      </x:c>
      <x:c r="B29" s="32" t="str">
        <x:v>20:30</x:v>
      </x:c>
      <x:c r="C29" s="32" t="str">
        <x:v>Account Slot 5</x:v>
      </x:c>
      <x:c r="D29" s="32" t="str">
        <x:v>A</x:v>
      </x:c>
      <x:c r="E29" s="32" t="str">
        <x:v>Active</x:v>
      </x:c>
      <x:c r="F29" s="32" t="n">
        <x:v>3</x:v>
      </x:c>
      <x:c r="G29" s="32" t="n">
        <x:v>3</x:v>
      </x:c>
      <x:c r="H29" s="32" t="n">
        <x:v>0</x:v>
      </x:c>
      <x:c r="I29" s="32" t="n">
        <x:v>157</x:v>
      </x:c>
      <x:c r="J29" s="32" t="n">
        <x:v>85</x:v>
      </x:c>
      <x:c r="K29" s="32" t="n">
        <x:v>961</x:v>
      </x:c>
      <x:c r="L29" s="32" t="n">
        <x:v>4</x:v>
      </x:c>
      <x:c r="M29" s="32" t="n">
        <x:v>19</x:v>
      </x:c>
      <x:c r="N29" s="32" t="n">
        <x:v>4</x:v>
      </x:c>
      <x:c r="O29" s="32" t="str">
        <x:v>viewer_case_3_5</x:v>
      </x:c>
      <x:c r="P29" s="32" t="str">
        <x:v>Complete</x:v>
      </x:c>
      <x:c r="Q29" s="32" t="n">
        <x:v>2</x:v>
      </x:c>
      <x:c r="R29" s="32" t="str">
        <x:v>follower_case_3_5</x:v>
      </x:c>
      <x:c r="S29" s="32" t="str">
        <x:v>Complete</x:v>
      </x:c>
      <x:c r="T29" s="32" t="str">
        <x:v>No</x:v>
      </x:c>
      <x:c r="U29" s="32" t="str">
        <x:v>No</x:v>
      </x:c>
      <x:c r="V29" s="32" t="str"/>
      <x:c r="W29" s="32" t="str">
        <x:v>EVG-ACC-3-5</x:v>
      </x:c>
      <x:c r="X29" s="32" t="str">
        <x:v>Interview Candidate</x:v>
      </x:c>
      <x:c r="Y29" s="32" t="str">
        <x:v>Pass</x:v>
      </x:c>
      <x:c r="Z29" s="32" t="str">
        <x:v>Synthetic daily snapshot</x:v>
      </x:c>
      <x:c r="AA29" s="32" t="str">
        <x:v>Core</x:v>
      </x:c>
      <x:c r="AB29" s="32" t="str">
        <x:v>N/A</x:v>
      </x:c>
      <x:c r="AC29" s="32" t="str">
        <x:v>Neutral</x:v>
      </x:c>
      <x:c r="AD29" s="32" t="str">
        <x:v>Synthetic bio 5</x:v>
      </x:c>
      <x:c r="AE29" s="32" t="str">
        <x:v>No</x:v>
      </x:c>
      <x:c r="AF29" s="32" t="str">
        <x:v>interview_assets/profile/slot_5.png</x:v>
      </x:c>
      <x:c r="AG29" s="32" t="str">
        <x:v>Complete</x:v>
      </x:c>
      <x:c r="AH29" s="32" t="n">
        <x:v>4</x:v>
      </x:c>
      <x:c r="AI29" s="32" t="n">
        <x:v>1</x:v>
      </x:c>
      <x:c r="AJ29" s="32" t="n">
        <x:v>0</x:v>
      </x:c>
      <x:c r="AK29" s="32" t="n">
        <x:v>1</x:v>
      </x:c>
      <x:c r="AL29" s="32" t="n">
        <x:v>2</x:v>
      </x:c>
      <x:c r="AM29" s="32" t="n">
        <x:v>1</x:v>
      </x:c>
      <x:c r="AN29" s="32" t="str">
        <x:v>Yes</x:v>
      </x:c>
      <x:c r="AO29" s="32" t="str">
        <x:v>BATCH-ACC-D3</x:v>
      </x:c>
      <x:c r="AP29" s="33" t="str">
        <x:v>Matched</x:v>
      </x:c>
    </x:row>
    <x:row r="30">
      <x:c r="A30" s="49" t="n">
        <x:v>46226</x:v>
      </x:c>
      <x:c r="B30" s="32" t="str">
        <x:v>20:30</x:v>
      </x:c>
      <x:c r="C30" s="32" t="str">
        <x:v>Account Slot 6</x:v>
      </x:c>
      <x:c r="D30" s="32" t="str">
        <x:v>B</x:v>
      </x:c>
      <x:c r="E30" s="32" t="str">
        <x:v>Active</x:v>
      </x:c>
      <x:c r="F30" s="32" t="n">
        <x:v>2</x:v>
      </x:c>
      <x:c r="G30" s="32" t="n">
        <x:v>0</x:v>
      </x:c>
      <x:c r="H30" s="32" t="n">
        <x:v>0</x:v>
      </x:c>
      <x:c r="I30" s="32" t="n">
        <x:v>164</x:v>
      </x:c>
      <x:c r="J30" s="32" t="n">
        <x:v>86</x:v>
      </x:c>
      <x:c r="K30" s="32" t="n">
        <x:v>972</x:v>
      </x:c>
      <x:c r="L30" s="32" t="n">
        <x:v>5</x:v>
      </x:c>
      <x:c r="M30" s="32" t="n">
        <x:v>20</x:v>
      </x:c>
      <x:c r="N30" s="32" t="n">
        <x:v>2</x:v>
      </x:c>
      <x:c r="O30" s="32" t="str">
        <x:v>viewer_case_3_6</x:v>
      </x:c>
      <x:c r="P30" s="32" t="str">
        <x:v>Complete</x:v>
      </x:c>
      <x:c r="Q30" s="32" t="n">
        <x:v>0</x:v>
      </x:c>
      <x:c r="R30" s="32" t="str">
        <x:v>follower_case_3_6</x:v>
      </x:c>
      <x:c r="S30" s="32" t="str">
        <x:v>Complete</x:v>
      </x:c>
      <x:c r="T30" s="32" t="str">
        <x:v>No</x:v>
      </x:c>
      <x:c r="U30" s="32" t="str">
        <x:v>No</x:v>
      </x:c>
      <x:c r="V30" s="32" t="str"/>
      <x:c r="W30" s="32" t="str">
        <x:v>EVG-ACC-3-6</x:v>
      </x:c>
      <x:c r="X30" s="32" t="str">
        <x:v>Interview Candidate</x:v>
      </x:c>
      <x:c r="Y30" s="32" t="str">
        <x:v>Pass</x:v>
      </x:c>
      <x:c r="Z30" s="32" t="str">
        <x:v>Synthetic daily snapshot</x:v>
      </x:c>
      <x:c r="AA30" s="32" t="str">
        <x:v>Advanced</x:v>
      </x:c>
      <x:c r="AB30" s="32" t="str">
        <x:v>N/A</x:v>
      </x:c>
      <x:c r="AC30" s="32" t="str">
        <x:v>Styled</x:v>
      </x:c>
      <x:c r="AD30" s="32" t="str">
        <x:v>Synthetic bio 6</x:v>
      </x:c>
      <x:c r="AE30" s="32" t="str">
        <x:v>No</x:v>
      </x:c>
      <x:c r="AF30" s="32" t="str">
        <x:v>interview_assets/profile/slot_6.png</x:v>
      </x:c>
      <x:c r="AG30" s="32" t="str">
        <x:v>Complete</x:v>
      </x:c>
      <x:c r="AH30" s="32" t="n">
        <x:v>5</x:v>
      </x:c>
      <x:c r="AI30" s="32" t="n">
        <x:v>0</x:v>
      </x:c>
      <x:c r="AJ30" s="32" t="n">
        <x:v>0</x:v>
      </x:c>
      <x:c r="AK30" s="32" t="n">
        <x:v>2</x:v>
      </x:c>
      <x:c r="AL30" s="32" t="n">
        <x:v>0</x:v>
      </x:c>
      <x:c r="AM30" s="32" t="n">
        <x:v>0</x:v>
      </x:c>
      <x:c r="AN30" s="32" t="str">
        <x:v>Yes</x:v>
      </x:c>
      <x:c r="AO30" s="32" t="str">
        <x:v>BATCH-ACC-D3</x:v>
      </x:c>
      <x:c r="AP30" s="33" t="str">
        <x:v>Matched</x:v>
      </x:c>
    </x:row>
    <x:row r="31">
      <x:c r="A31" s="49" t="n">
        <x:v>46226</x:v>
      </x:c>
      <x:c r="B31" s="32" t="str">
        <x:v>20:30</x:v>
      </x:c>
      <x:c r="C31" s="32" t="str">
        <x:v>Account Slot 8</x:v>
      </x:c>
      <x:c r="D31" s="32" t="str">
        <x:v>B</x:v>
      </x:c>
      <x:c r="E31" s="32" t="str">
        <x:v>Active</x:v>
      </x:c>
      <x:c r="F31" s="32" t="n">
        <x:v>2</x:v>
      </x:c>
      <x:c r="G31" s="32" t="n">
        <x:v>2</x:v>
      </x:c>
      <x:c r="H31" s="32" t="n">
        <x:v>0</x:v>
      </x:c>
      <x:c r="I31" s="32" t="n">
        <x:v>178</x:v>
      </x:c>
      <x:c r="J31" s="32" t="n">
        <x:v>88</x:v>
      </x:c>
      <x:c r="K31" s="32" t="n">
        <x:v>994</x:v>
      </x:c>
      <x:c r="L31" s="32" t="n">
        <x:v>3</x:v>
      </x:c>
      <x:c r="M31" s="32" t="n">
        <x:v>22</x:v>
      </x:c>
      <x:c r="N31" s="32" t="n">
        <x:v>4</x:v>
      </x:c>
      <x:c r="O31" s="32" t="str">
        <x:v>viewer_case_3_8</x:v>
      </x:c>
      <x:c r="P31" s="32" t="str">
        <x:v>Complete</x:v>
      </x:c>
      <x:c r="Q31" s="32" t="n">
        <x:v>2</x:v>
      </x:c>
      <x:c r="R31" s="32" t="str">
        <x:v>follower_case_3_8</x:v>
      </x:c>
      <x:c r="S31" s="32" t="str">
        <x:v>Complete</x:v>
      </x:c>
      <x:c r="T31" s="32" t="str">
        <x:v>No</x:v>
      </x:c>
      <x:c r="U31" s="32" t="str">
        <x:v>No</x:v>
      </x:c>
      <x:c r="V31" s="32" t="str"/>
      <x:c r="W31" s="32" t="str">
        <x:v>EVG-ACC-3-8</x:v>
      </x:c>
      <x:c r="X31" s="32" t="str">
        <x:v>Interview Candidate</x:v>
      </x:c>
      <x:c r="Y31" s="32" t="str">
        <x:v>Pass</x:v>
      </x:c>
      <x:c r="Z31" s="32" t="str">
        <x:v>Synthetic daily snapshot</x:v>
      </x:c>
      <x:c r="AA31" s="32" t="str">
        <x:v>Advanced</x:v>
      </x:c>
      <x:c r="AB31" s="32" t="str">
        <x:v>N/A</x:v>
      </x:c>
      <x:c r="AC31" s="32" t="str">
        <x:v>Styled</x:v>
      </x:c>
      <x:c r="AD31" s="32" t="str">
        <x:v>Synthetic bio 8</x:v>
      </x:c>
      <x:c r="AE31" s="32" t="str">
        <x:v>No</x:v>
      </x:c>
      <x:c r="AF31" s="32" t="str">
        <x:v>interview_assets/profile/slot_8.png</x:v>
      </x:c>
      <x:c r="AG31" s="32" t="str">
        <x:v>Complete</x:v>
      </x:c>
      <x:c r="AH31" s="32" t="n">
        <x:v>3</x:v>
      </x:c>
      <x:c r="AI31" s="32" t="n">
        <x:v>0</x:v>
      </x:c>
      <x:c r="AJ31" s="32" t="n">
        <x:v>0</x:v>
      </x:c>
      <x:c r="AK31" s="32" t="n">
        <x:v>0</x:v>
      </x:c>
      <x:c r="AL31" s="32" t="n">
        <x:v>2</x:v>
      </x:c>
      <x:c r="AM31" s="32" t="n">
        <x:v>0</x:v>
      </x:c>
      <x:c r="AN31" s="32" t="str">
        <x:v>Yes</x:v>
      </x:c>
      <x:c r="AO31" s="32" t="str">
        <x:v>BATCH-ACC-D3</x:v>
      </x:c>
      <x:c r="AP31" s="33" t="str">
        <x:v>Matched</x:v>
      </x:c>
    </x:row>
    <x:row r="32">
      <x:c r="A32" s="49" t="n">
        <x:v>46226</x:v>
      </x:c>
      <x:c r="B32" s="32" t="str">
        <x:v>20:30</x:v>
      </x:c>
      <x:c r="C32" s="32" t="str">
        <x:v>Account Slot 9</x:v>
      </x:c>
      <x:c r="D32" s="32" t="str">
        <x:v>B</x:v>
      </x:c>
      <x:c r="E32" s="32" t="str">
        <x:v>Active</x:v>
      </x:c>
      <x:c r="F32" s="32" t="n">
        <x:v>2</x:v>
      </x:c>
      <x:c r="G32" s="32" t="n">
        <x:v>2</x:v>
      </x:c>
      <x:c r="H32" s="32" t="n">
        <x:v>0</x:v>
      </x:c>
      <x:c r="I32" s="32" t="n">
        <x:v>185</x:v>
      </x:c>
      <x:c r="J32" s="32" t="n">
        <x:v>89</x:v>
      </x:c>
      <x:c r="K32" s="32" t="n">
        <x:v>1005</x:v>
      </x:c>
      <x:c r="L32" s="32" t="n">
        <x:v>4</x:v>
      </x:c>
      <x:c r="M32" s="32" t="n">
        <x:v>23</x:v>
      </x:c>
      <x:c r="N32" s="32" t="n">
        <x:v>2</x:v>
      </x:c>
      <x:c r="O32" s="32" t="str">
        <x:v>viewer_case_3_9</x:v>
      </x:c>
      <x:c r="P32" s="32" t="str">
        <x:v>Complete</x:v>
      </x:c>
      <x:c r="Q32" s="32" t="n">
        <x:v>0</x:v>
      </x:c>
      <x:c r="R32" s="32" t="str">
        <x:v>follower_case_3_9</x:v>
      </x:c>
      <x:c r="S32" s="32" t="str">
        <x:v>Complete</x:v>
      </x:c>
      <x:c r="T32" s="32" t="str">
        <x:v>No</x:v>
      </x:c>
      <x:c r="U32" s="32" t="str">
        <x:v>No</x:v>
      </x:c>
      <x:c r="V32" s="32" t="str"/>
      <x:c r="W32" s="32" t="str">
        <x:v>EVG-ACC-3-9</x:v>
      </x:c>
      <x:c r="X32" s="32" t="str">
        <x:v>Interview Candidate</x:v>
      </x:c>
      <x:c r="Y32" s="32" t="str">
        <x:v>Pass</x:v>
      </x:c>
      <x:c r="Z32" s="32" t="str">
        <x:v>Synthetic daily snapshot</x:v>
      </x:c>
      <x:c r="AA32" s="32" t="str">
        <x:v>Advanced</x:v>
      </x:c>
      <x:c r="AB32" s="32" t="str">
        <x:v>N/A</x:v>
      </x:c>
      <x:c r="AC32" s="32" t="str">
        <x:v>Neutral</x:v>
      </x:c>
      <x:c r="AD32" s="32" t="str">
        <x:v>Synthetic bio 9</x:v>
      </x:c>
      <x:c r="AE32" s="32" t="str">
        <x:v>No</x:v>
      </x:c>
      <x:c r="AF32" s="32" t="str">
        <x:v>interview_assets/profile/slot_9.png</x:v>
      </x:c>
      <x:c r="AG32" s="32" t="str">
        <x:v>Complete</x:v>
      </x:c>
      <x:c r="AH32" s="32" t="n">
        <x:v>4</x:v>
      </x:c>
      <x:c r="AI32" s="32" t="n">
        <x:v>1</x:v>
      </x:c>
      <x:c r="AJ32" s="32" t="n">
        <x:v>0</x:v>
      </x:c>
      <x:c r="AK32" s="32" t="n">
        <x:v>1</x:v>
      </x:c>
      <x:c r="AL32" s="32" t="n">
        <x:v>0</x:v>
      </x:c>
      <x:c r="AM32" s="32" t="n">
        <x:v>1</x:v>
      </x:c>
      <x:c r="AN32" s="32" t="str">
        <x:v>Yes</x:v>
      </x:c>
      <x:c r="AO32" s="32" t="str">
        <x:v>BATCH-ACC-D3</x:v>
      </x:c>
      <x:c r="AP32" s="33" t="str">
        <x:v>Matched</x:v>
      </x:c>
    </x:row>
    <x:row r="33">
      <x:c r="A33" s="49" t="n">
        <x:v>46226</x:v>
      </x:c>
      <x:c r="B33" s="32" t="str">
        <x:v>20:30</x:v>
      </x:c>
      <x:c r="C33" s="32" t="str">
        <x:v>Account Slot 10</x:v>
      </x:c>
      <x:c r="D33" s="32" t="str">
        <x:v>B</x:v>
      </x:c>
      <x:c r="E33" s="32" t="str">
        <x:v>Active</x:v>
      </x:c>
      <x:c r="F33" s="32" t="n">
        <x:v>2</x:v>
      </x:c>
      <x:c r="G33" s="32" t="n">
        <x:v>2</x:v>
      </x:c>
      <x:c r="H33" s="32" t="n">
        <x:v>0</x:v>
      </x:c>
      <x:c r="I33" s="32" t="n">
        <x:v>192</x:v>
      </x:c>
      <x:c r="J33" s="32" t="n">
        <x:v>90</x:v>
      </x:c>
      <x:c r="K33" s="32" t="n">
        <x:v>1016</x:v>
      </x:c>
      <x:c r="L33" s="32" t="n">
        <x:v>5</x:v>
      </x:c>
      <x:c r="M33" s="32" t="n">
        <x:v>24</x:v>
      </x:c>
      <x:c r="N33" s="32" t="n">
        <x:v>3</x:v>
      </x:c>
      <x:c r="O33" s="32" t="str">
        <x:v>viewer_case_3_10</x:v>
      </x:c>
      <x:c r="P33" s="32" t="str">
        <x:v>Complete</x:v>
      </x:c>
      <x:c r="Q33" s="32" t="n">
        <x:v>1</x:v>
      </x:c>
      <x:c r="R33" s="32" t="str">
        <x:v>follower_case_3_10</x:v>
      </x:c>
      <x:c r="S33" s="32" t="str">
        <x:v>Complete</x:v>
      </x:c>
      <x:c r="T33" s="32" t="str">
        <x:v>No</x:v>
      </x:c>
      <x:c r="U33" s="32" t="str">
        <x:v>No</x:v>
      </x:c>
      <x:c r="V33" s="32" t="str"/>
      <x:c r="W33" s="32" t="str">
        <x:v>EVG-ACC-3-10</x:v>
      </x:c>
      <x:c r="X33" s="32" t="str">
        <x:v>Interview Candidate</x:v>
      </x:c>
      <x:c r="Y33" s="32" t="str">
        <x:v>Pass</x:v>
      </x:c>
      <x:c r="Z33" s="32" t="str">
        <x:v>Synthetic daily snapshot</x:v>
      </x:c>
      <x:c r="AA33" s="32" t="str">
        <x:v>Advanced</x:v>
      </x:c>
      <x:c r="AB33" s="32" t="str">
        <x:v>N/A</x:v>
      </x:c>
      <x:c r="AC33" s="32" t="str">
        <x:v>Styled</x:v>
      </x:c>
      <x:c r="AD33" s="32" t="str">
        <x:v>Synthetic bio 10</x:v>
      </x:c>
      <x:c r="AE33" s="32" t="str">
        <x:v>No</x:v>
      </x:c>
      <x:c r="AF33" s="32" t="str">
        <x:v>interview_assets/profile/slot_10.png</x:v>
      </x:c>
      <x:c r="AG33" s="32" t="str">
        <x:v>Complete</x:v>
      </x:c>
      <x:c r="AH33" s="32" t="n">
        <x:v>5</x:v>
      </x:c>
      <x:c r="AI33" s="32" t="n">
        <x:v>0</x:v>
      </x:c>
      <x:c r="AJ33" s="32" t="n">
        <x:v>0</x:v>
      </x:c>
      <x:c r="AK33" s="32" t="n">
        <x:v>2</x:v>
      </x:c>
      <x:c r="AL33" s="32" t="n">
        <x:v>1</x:v>
      </x:c>
      <x:c r="AM33" s="32" t="n">
        <x:v>0</x:v>
      </x:c>
      <x:c r="AN33" s="32" t="str">
        <x:v>Yes</x:v>
      </x:c>
      <x:c r="AO33" s="32" t="str">
        <x:v>BATCH-ACC-D3</x:v>
      </x:c>
      <x:c r="AP33" s="33" t="str">
        <x:v>Matched</x:v>
      </x:c>
    </x:row>
    <x:row r="34">
      <x:c r="A34" s="49" t="n">
        <x:v>46227</x:v>
      </x:c>
      <x:c r="B34" s="32" t="str">
        <x:v>20:30</x:v>
      </x:c>
      <x:c r="C34" s="32" t="str">
        <x:v>Account Slot 1</x:v>
      </x:c>
      <x:c r="D34" s="32" t="str">
        <x:v>A</x:v>
      </x:c>
      <x:c r="E34" s="32" t="str">
        <x:v>Active</x:v>
      </x:c>
      <x:c r="F34" s="32" t="n">
        <x:v>2</x:v>
      </x:c>
      <x:c r="G34" s="32" t="n">
        <x:v>0</x:v>
      </x:c>
      <x:c r="H34" s="32" t="n">
        <x:v>0</x:v>
      </x:c>
      <x:c r="I34" s="32" t="n">
        <x:v>130</x:v>
      </x:c>
      <x:c r="J34" s="32" t="n">
        <x:v>81</x:v>
      </x:c>
      <x:c r="K34" s="32" t="n">
        <x:v>920</x:v>
      </x:c>
      <x:c r="L34" s="32" t="n">
        <x:v>4</x:v>
      </x:c>
      <x:c r="M34" s="32" t="n">
        <x:v>16</x:v>
      </x:c>
      <x:c r="N34" s="32" t="n">
        <x:v>3</x:v>
      </x:c>
      <x:c r="O34" s="32" t="str">
        <x:v>viewer_case_4_1</x:v>
      </x:c>
      <x:c r="P34" s="32" t="str">
        <x:v>Complete</x:v>
      </x:c>
      <x:c r="Q34" s="32" t="n">
        <x:v>1</x:v>
      </x:c>
      <x:c r="R34" s="32" t="str">
        <x:v>follower_case_4_1</x:v>
      </x:c>
      <x:c r="S34" s="32" t="str">
        <x:v>Complete</x:v>
      </x:c>
      <x:c r="T34" s="32" t="str">
        <x:v>No</x:v>
      </x:c>
      <x:c r="U34" s="32" t="str">
        <x:v>No</x:v>
      </x:c>
      <x:c r="V34" s="32" t="str"/>
      <x:c r="W34" s="32" t="str">
        <x:v>EVG-ACC-4-1</x:v>
      </x:c>
      <x:c r="X34" s="32" t="str">
        <x:v>Interview Candidate</x:v>
      </x:c>
      <x:c r="Y34" s="32" t="str">
        <x:v>Pass</x:v>
      </x:c>
      <x:c r="Z34" s="32" t="str">
        <x:v>Synthetic daily snapshot</x:v>
      </x:c>
      <x:c r="AA34" s="32" t="str">
        <x:v>Core</x:v>
      </x:c>
      <x:c r="AB34" s="32" t="str">
        <x:v>N/A</x:v>
      </x:c>
      <x:c r="AC34" s="32" t="str">
        <x:v>Neutral</x:v>
      </x:c>
      <x:c r="AD34" s="32" t="str">
        <x:v>Synthetic bio 1</x:v>
      </x:c>
      <x:c r="AE34" s="32" t="str">
        <x:v>No</x:v>
      </x:c>
      <x:c r="AF34" s="32" t="str">
        <x:v>interview_assets/profile/slot_1.png</x:v>
      </x:c>
      <x:c r="AG34" s="32" t="str">
        <x:v>Complete</x:v>
      </x:c>
      <x:c r="AH34" s="32" t="n">
        <x:v>4</x:v>
      </x:c>
      <x:c r="AI34" s="32" t="n">
        <x:v>1</x:v>
      </x:c>
      <x:c r="AJ34" s="32" t="n">
        <x:v>0</x:v>
      </x:c>
      <x:c r="AK34" s="32" t="n">
        <x:v>1</x:v>
      </x:c>
      <x:c r="AL34" s="32" t="n">
        <x:v>1</x:v>
      </x:c>
      <x:c r="AM34" s="32" t="n">
        <x:v>1</x:v>
      </x:c>
      <x:c r="AN34" s="32" t="str">
        <x:v>Yes</x:v>
      </x:c>
      <x:c r="AO34" s="32" t="str">
        <x:v>BATCH-ACC-D4</x:v>
      </x:c>
      <x:c r="AP34" s="33" t="str">
        <x:v>Matched</x:v>
      </x:c>
    </x:row>
    <x:row r="35">
      <x:c r="A35" s="49" t="n">
        <x:v>46227</x:v>
      </x:c>
      <x:c r="B35" s="32" t="str">
        <x:v>20:30</x:v>
      </x:c>
      <x:c r="C35" s="32" t="str">
        <x:v>Account Slot 2</x:v>
      </x:c>
      <x:c r="D35" s="32" t="str">
        <x:v>A</x:v>
      </x:c>
      <x:c r="E35" s="32" t="str">
        <x:v>Active</x:v>
      </x:c>
      <x:c r="F35" s="32" t="n">
        <x:v>2</x:v>
      </x:c>
      <x:c r="G35" s="32" t="n">
        <x:v>2</x:v>
      </x:c>
      <x:c r="H35" s="32" t="n">
        <x:v>1</x:v>
      </x:c>
      <x:c r="I35" s="32" t="n">
        <x:v>137</x:v>
      </x:c>
      <x:c r="J35" s="32" t="n">
        <x:v>82</x:v>
      </x:c>
      <x:c r="K35" s="32" t="n">
        <x:v>931</x:v>
      </x:c>
      <x:c r="L35" s="32" t="n">
        <x:v>5</x:v>
      </x:c>
      <x:c r="M35" s="32" t="n">
        <x:v>17</x:v>
      </x:c>
      <x:c r="N35" s="32" t="n">
        <x:v>4</x:v>
      </x:c>
      <x:c r="O35" s="32" t="str">
        <x:v>viewer_case_4_2</x:v>
      </x:c>
      <x:c r="P35" s="32" t="str">
        <x:v>Complete</x:v>
      </x:c>
      <x:c r="Q35" s="32" t="n">
        <x:v>2</x:v>
      </x:c>
      <x:c r="R35" s="32" t="str">
        <x:v>follower_case_4_2</x:v>
      </x:c>
      <x:c r="S35" s="32" t="str">
        <x:v>Complete</x:v>
      </x:c>
      <x:c r="T35" s="32" t="str">
        <x:v>Yes</x:v>
      </x:c>
      <x:c r="U35" s="32" t="str">
        <x:v>No</x:v>
      </x:c>
      <x:c r="V35" s="32" t="str"/>
      <x:c r="W35" s="32" t="str">
        <x:v>EVG-ACC-4-2</x:v>
      </x:c>
      <x:c r="X35" s="32" t="str">
        <x:v>Interview Candidate</x:v>
      </x:c>
      <x:c r="Y35" s="32" t="str">
        <x:v>Pass</x:v>
      </x:c>
      <x:c r="Z35" s="32" t="str">
        <x:v>Synthetic daily snapshot</x:v>
      </x:c>
      <x:c r="AA35" s="32" t="str">
        <x:v>Core</x:v>
      </x:c>
      <x:c r="AB35" s="32" t="str">
        <x:v>N/A</x:v>
      </x:c>
      <x:c r="AC35" s="32" t="str">
        <x:v>Styled</x:v>
      </x:c>
      <x:c r="AD35" s="32" t="str">
        <x:v>Synthetic bio 2</x:v>
      </x:c>
      <x:c r="AE35" s="32" t="str">
        <x:v>No</x:v>
      </x:c>
      <x:c r="AF35" s="32" t="str">
        <x:v>interview_assets/profile/slot_2.png</x:v>
      </x:c>
      <x:c r="AG35" s="32" t="str">
        <x:v>Complete</x:v>
      </x:c>
      <x:c r="AH35" s="32" t="n">
        <x:v>5</x:v>
      </x:c>
      <x:c r="AI35" s="32" t="n">
        <x:v>0</x:v>
      </x:c>
      <x:c r="AJ35" s="32" t="n">
        <x:v>0</x:v>
      </x:c>
      <x:c r="AK35" s="32" t="n">
        <x:v>2</x:v>
      </x:c>
      <x:c r="AL35" s="32" t="n">
        <x:v>2</x:v>
      </x:c>
      <x:c r="AM35" s="32" t="n">
        <x:v>0</x:v>
      </x:c>
      <x:c r="AN35" s="32" t="str">
        <x:v>Yes</x:v>
      </x:c>
      <x:c r="AO35" s="32" t="str">
        <x:v>BATCH-ACC-D4</x:v>
      </x:c>
      <x:c r="AP35" s="33" t="str">
        <x:v>Matched</x:v>
      </x:c>
    </x:row>
    <x:row r="36">
      <x:c r="A36" s="49" t="n">
        <x:v>46227</x:v>
      </x:c>
      <x:c r="B36" s="32" t="str">
        <x:v>20:30</x:v>
      </x:c>
      <x:c r="C36" s="32" t="str">
        <x:v>Account Slot 3</x:v>
      </x:c>
      <x:c r="D36" s="32" t="str">
        <x:v>A</x:v>
      </x:c>
      <x:c r="E36" s="32" t="str">
        <x:v>Active</x:v>
      </x:c>
      <x:c r="F36" s="32" t="n">
        <x:v>2</x:v>
      </x:c>
      <x:c r="G36" s="32" t="n">
        <x:v>2</x:v>
      </x:c>
      <x:c r="H36" s="32" t="n">
        <x:v>0</x:v>
      </x:c>
      <x:c r="I36" s="32" t="n">
        <x:v>144</x:v>
      </x:c>
      <x:c r="J36" s="32" t="n">
        <x:v>83</x:v>
      </x:c>
      <x:c r="K36" s="32" t="n">
        <x:v>942</x:v>
      </x:c>
      <x:c r="L36" s="32" t="n">
        <x:v>6</x:v>
      </x:c>
      <x:c r="M36" s="32" t="n">
        <x:v>18</x:v>
      </x:c>
      <x:c r="N36" s="32" t="n">
        <x:v>2</x:v>
      </x:c>
      <x:c r="O36" s="32" t="str">
        <x:v>viewer_case_4_3</x:v>
      </x:c>
      <x:c r="P36" s="32" t="str">
        <x:v>Complete</x:v>
      </x:c>
      <x:c r="Q36" s="32" t="n">
        <x:v>0</x:v>
      </x:c>
      <x:c r="R36" s="32" t="str">
        <x:v>follower_case_4_3</x:v>
      </x:c>
      <x:c r="S36" s="32" t="str">
        <x:v>Complete</x:v>
      </x:c>
      <x:c r="T36" s="32" t="str">
        <x:v>No</x:v>
      </x:c>
      <x:c r="U36" s="32" t="str">
        <x:v>No</x:v>
      </x:c>
      <x:c r="V36" s="32" t="str"/>
      <x:c r="W36" s="32" t="str">
        <x:v>EVG-ACC-4-3</x:v>
      </x:c>
      <x:c r="X36" s="32" t="str">
        <x:v>Interview Candidate</x:v>
      </x:c>
      <x:c r="Y36" s="32" t="str">
        <x:v>Pass</x:v>
      </x:c>
      <x:c r="Z36" s="32" t="str">
        <x:v>Synthetic daily snapshot</x:v>
      </x:c>
      <x:c r="AA36" s="32" t="str">
        <x:v>Core</x:v>
      </x:c>
      <x:c r="AB36" s="32" t="str">
        <x:v>N/A</x:v>
      </x:c>
      <x:c r="AC36" s="32" t="str">
        <x:v>Neutral</x:v>
      </x:c>
      <x:c r="AD36" s="32" t="str">
        <x:v>Synthetic bio 3</x:v>
      </x:c>
      <x:c r="AE36" s="32" t="str">
        <x:v>No</x:v>
      </x:c>
      <x:c r="AF36" s="32" t="str">
        <x:v>interview_assets/profile/slot_3.png</x:v>
      </x:c>
      <x:c r="AG36" s="32" t="str">
        <x:v>Complete</x:v>
      </x:c>
      <x:c r="AH36" s="32" t="n">
        <x:v>6</x:v>
      </x:c>
      <x:c r="AI36" s="32" t="n">
        <x:v>1</x:v>
      </x:c>
      <x:c r="AJ36" s="32" t="n">
        <x:v>0</x:v>
      </x:c>
      <x:c r="AK36" s="32" t="n">
        <x:v>3</x:v>
      </x:c>
      <x:c r="AL36" s="32" t="n">
        <x:v>0</x:v>
      </x:c>
      <x:c r="AM36" s="32" t="n">
        <x:v>1</x:v>
      </x:c>
      <x:c r="AN36" s="32" t="str">
        <x:v>Yes</x:v>
      </x:c>
      <x:c r="AO36" s="32" t="str">
        <x:v>BATCH-ACC-D4</x:v>
      </x:c>
      <x:c r="AP36" s="33" t="str">
        <x:v>Matched</x:v>
      </x:c>
    </x:row>
    <x:row r="37">
      <x:c r="A37" s="49" t="n">
        <x:v>46227</x:v>
      </x:c>
      <x:c r="B37" s="32" t="str">
        <x:v>20:30</x:v>
      </x:c>
      <x:c r="C37" s="32" t="str">
        <x:v>Account Slot 4</x:v>
      </x:c>
      <x:c r="D37" s="32" t="str">
        <x:v>A</x:v>
      </x:c>
      <x:c r="E37" s="32" t="str">
        <x:v>Active</x:v>
      </x:c>
      <x:c r="F37" s="32" t="n">
        <x:v>2</x:v>
      </x:c>
      <x:c r="G37" s="32" t="n">
        <x:v>2</x:v>
      </x:c>
      <x:c r="H37" s="32" t="n">
        <x:v>0</x:v>
      </x:c>
      <x:c r="I37" s="32" t="n">
        <x:v>151</x:v>
      </x:c>
      <x:c r="J37" s="32" t="n">
        <x:v>84</x:v>
      </x:c>
      <x:c r="K37" s="32" t="n">
        <x:v>953</x:v>
      </x:c>
      <x:c r="L37" s="32" t="n">
        <x:v>3</x:v>
      </x:c>
      <x:c r="M37" s="32" t="n">
        <x:v>19</x:v>
      </x:c>
      <x:c r="N37" s="32" t="n">
        <x:v>3</x:v>
      </x:c>
      <x:c r="O37" s="32" t="str">
        <x:v>viewer_case_4_4</x:v>
      </x:c>
      <x:c r="P37" s="32" t="str">
        <x:v>Complete</x:v>
      </x:c>
      <x:c r="Q37" s="32" t="n">
        <x:v>1</x:v>
      </x:c>
      <x:c r="R37" s="32" t="str">
        <x:v>follower_case_4_4</x:v>
      </x:c>
      <x:c r="S37" s="32" t="str">
        <x:v>Complete</x:v>
      </x:c>
      <x:c r="T37" s="32" t="str">
        <x:v>No</x:v>
      </x:c>
      <x:c r="U37" s="32" t="str">
        <x:v>No</x:v>
      </x:c>
      <x:c r="V37" s="32" t="str"/>
      <x:c r="W37" s="32" t="str">
        <x:v>EVG-ACC-4-4</x:v>
      </x:c>
      <x:c r="X37" s="32" t="str">
        <x:v>Interview Candidate</x:v>
      </x:c>
      <x:c r="Y37" s="32" t="str">
        <x:v>Pass</x:v>
      </x:c>
      <x:c r="Z37" s="32" t="str">
        <x:v>Synthetic daily snapshot</x:v>
      </x:c>
      <x:c r="AA37" s="32" t="str">
        <x:v>Core</x:v>
      </x:c>
      <x:c r="AB37" s="32" t="str">
        <x:v>N/A</x:v>
      </x:c>
      <x:c r="AC37" s="32" t="str">
        <x:v>Styled</x:v>
      </x:c>
      <x:c r="AD37" s="32" t="str">
        <x:v>Synthetic bio 4</x:v>
      </x:c>
      <x:c r="AE37" s="32" t="str">
        <x:v>No</x:v>
      </x:c>
      <x:c r="AF37" s="32" t="str">
        <x:v>interview_assets/profile/slot_4.png</x:v>
      </x:c>
      <x:c r="AG37" s="32" t="str">
        <x:v>Complete</x:v>
      </x:c>
      <x:c r="AH37" s="32" t="n">
        <x:v>3</x:v>
      </x:c>
      <x:c r="AI37" s="32" t="n">
        <x:v>0</x:v>
      </x:c>
      <x:c r="AJ37" s="32" t="n">
        <x:v>0</x:v>
      </x:c>
      <x:c r="AK37" s="32" t="n">
        <x:v>0</x:v>
      </x:c>
      <x:c r="AL37" s="32" t="n">
        <x:v>1</x:v>
      </x:c>
      <x:c r="AM37" s="32" t="n">
        <x:v>0</x:v>
      </x:c>
      <x:c r="AN37" s="32" t="str">
        <x:v>Yes</x:v>
      </x:c>
      <x:c r="AO37" s="32" t="str">
        <x:v>BATCH-ACC-D4</x:v>
      </x:c>
      <x:c r="AP37" s="33" t="str">
        <x:v>Matched</x:v>
      </x:c>
    </x:row>
    <x:row r="38">
      <x:c r="A38" s="49" t="n">
        <x:v>46227</x:v>
      </x:c>
      <x:c r="B38" s="32" t="str">
        <x:v>20:30</x:v>
      </x:c>
      <x:c r="C38" s="32" t="str">
        <x:v>Account Slot 5</x:v>
      </x:c>
      <x:c r="D38" s="32" t="str">
        <x:v>A</x:v>
      </x:c>
      <x:c r="E38" s="32" t="str">
        <x:v>Active</x:v>
      </x:c>
      <x:c r="F38" s="32" t="n">
        <x:v>2</x:v>
      </x:c>
      <x:c r="G38" s="32" t="n">
        <x:v>1</x:v>
      </x:c>
      <x:c r="H38" s="32" t="n">
        <x:v>1</x:v>
      </x:c>
      <x:c r="I38" s="32" t="n">
        <x:v>158</x:v>
      </x:c>
      <x:c r="J38" s="32" t="n">
        <x:v>85</x:v>
      </x:c>
      <x:c r="K38" s="32" t="n">
        <x:v>964</x:v>
      </x:c>
      <x:c r="L38" s="32" t="n">
        <x:v>4</x:v>
      </x:c>
      <x:c r="M38" s="32" t="n">
        <x:v>20</x:v>
      </x:c>
      <x:c r="N38" s="32" t="n">
        <x:v>4</x:v>
      </x:c>
      <x:c r="O38" s="32" t="str">
        <x:v>viewer_case_4_5</x:v>
      </x:c>
      <x:c r="P38" s="32" t="str">
        <x:v>Complete</x:v>
      </x:c>
      <x:c r="Q38" s="32" t="n">
        <x:v>2</x:v>
      </x:c>
      <x:c r="R38" s="32" t="str">
        <x:v>follower_case_4_5</x:v>
      </x:c>
      <x:c r="S38" s="32" t="str">
        <x:v>Complete</x:v>
      </x:c>
      <x:c r="T38" s="32" t="str">
        <x:v>Yes</x:v>
      </x:c>
      <x:c r="U38" s="32" t="str">
        <x:v>No</x:v>
      </x:c>
      <x:c r="V38" s="32" t="str"/>
      <x:c r="W38" s="32" t="str">
        <x:v>EVG-ACC-4-5</x:v>
      </x:c>
      <x:c r="X38" s="32" t="str">
        <x:v>Interview Candidate</x:v>
      </x:c>
      <x:c r="Y38" s="32" t="str">
        <x:v>Pass</x:v>
      </x:c>
      <x:c r="Z38" s="32" t="str">
        <x:v>Synthetic daily snapshot</x:v>
      </x:c>
      <x:c r="AA38" s="32" t="str">
        <x:v>Core</x:v>
      </x:c>
      <x:c r="AB38" s="32" t="str">
        <x:v>N/A</x:v>
      </x:c>
      <x:c r="AC38" s="32" t="str">
        <x:v>Neutral</x:v>
      </x:c>
      <x:c r="AD38" s="32" t="str">
        <x:v>Synthetic bio 5</x:v>
      </x:c>
      <x:c r="AE38" s="32" t="str">
        <x:v>No</x:v>
      </x:c>
      <x:c r="AF38" s="32" t="str">
        <x:v>interview_assets/profile/slot_5.png</x:v>
      </x:c>
      <x:c r="AG38" s="32" t="str">
        <x:v>Complete</x:v>
      </x:c>
      <x:c r="AH38" s="32" t="n">
        <x:v>4</x:v>
      </x:c>
      <x:c r="AI38" s="32" t="n">
        <x:v>1</x:v>
      </x:c>
      <x:c r="AJ38" s="32" t="n">
        <x:v>0</x:v>
      </x:c>
      <x:c r="AK38" s="32" t="n">
        <x:v>1</x:v>
      </x:c>
      <x:c r="AL38" s="32" t="n">
        <x:v>2</x:v>
      </x:c>
      <x:c r="AM38" s="32" t="n">
        <x:v>1</x:v>
      </x:c>
      <x:c r="AN38" s="32" t="str">
        <x:v>Yes</x:v>
      </x:c>
      <x:c r="AO38" s="32" t="str">
        <x:v>BATCH-ACC-D4</x:v>
      </x:c>
      <x:c r="AP38" s="33" t="str">
        <x:v>Matched</x:v>
      </x:c>
    </x:row>
    <x:row r="39">
      <x:c r="A39" s="49" t="n">
        <x:v>46227</x:v>
      </x:c>
      <x:c r="B39" s="32" t="str">
        <x:v>20:30</x:v>
      </x:c>
      <x:c r="C39" s="32" t="str">
        <x:v>Account Slot 6</x:v>
      </x:c>
      <x:c r="D39" s="32" t="str">
        <x:v>B</x:v>
      </x:c>
      <x:c r="E39" s="32" t="str">
        <x:v>Active</x:v>
      </x:c>
      <x:c r="F39" s="32" t="n">
        <x:v>3</x:v>
      </x:c>
      <x:c r="G39" s="32" t="n">
        <x:v>0</x:v>
      </x:c>
      <x:c r="H39" s="32" t="n">
        <x:v>0</x:v>
      </x:c>
      <x:c r="I39" s="32" t="n">
        <x:v>165</x:v>
      </x:c>
      <x:c r="J39" s="32" t="n">
        <x:v>86</x:v>
      </x:c>
      <x:c r="K39" s="32" t="n">
        <x:v>975</x:v>
      </x:c>
      <x:c r="L39" s="32" t="n">
        <x:v>5</x:v>
      </x:c>
      <x:c r="M39" s="32" t="n">
        <x:v>21</x:v>
      </x:c>
      <x:c r="N39" s="32" t="n">
        <x:v>2</x:v>
      </x:c>
      <x:c r="O39" s="32" t="str">
        <x:v>viewer_case_4_6</x:v>
      </x:c>
      <x:c r="P39" s="32" t="str">
        <x:v>Complete</x:v>
      </x:c>
      <x:c r="Q39" s="32" t="n">
        <x:v>0</x:v>
      </x:c>
      <x:c r="R39" s="32" t="str">
        <x:v>follower_case_4_6</x:v>
      </x:c>
      <x:c r="S39" s="32" t="str">
        <x:v>Complete</x:v>
      </x:c>
      <x:c r="T39" s="32" t="str">
        <x:v>No</x:v>
      </x:c>
      <x:c r="U39" s="32" t="str">
        <x:v>No</x:v>
      </x:c>
      <x:c r="V39" s="32" t="str"/>
      <x:c r="W39" s="32" t="str">
        <x:v>EVG-ACC-4-6</x:v>
      </x:c>
      <x:c r="X39" s="32" t="str">
        <x:v>Interview Candidate</x:v>
      </x:c>
      <x:c r="Y39" s="32" t="str">
        <x:v>Pass</x:v>
      </x:c>
      <x:c r="Z39" s="32" t="str">
        <x:v>Synthetic daily snapshot</x:v>
      </x:c>
      <x:c r="AA39" s="32" t="str">
        <x:v>Advanced</x:v>
      </x:c>
      <x:c r="AB39" s="32" t="str">
        <x:v>N/A</x:v>
      </x:c>
      <x:c r="AC39" s="32" t="str">
        <x:v>Styled</x:v>
      </x:c>
      <x:c r="AD39" s="32" t="str">
        <x:v>Synthetic bio 6</x:v>
      </x:c>
      <x:c r="AE39" s="32" t="str">
        <x:v>No</x:v>
      </x:c>
      <x:c r="AF39" s="32" t="str">
        <x:v>interview_assets/profile/slot_6.png</x:v>
      </x:c>
      <x:c r="AG39" s="32" t="str">
        <x:v>Complete</x:v>
      </x:c>
      <x:c r="AH39" s="32" t="n">
        <x:v>5</x:v>
      </x:c>
      <x:c r="AI39" s="32" t="n">
        <x:v>0</x:v>
      </x:c>
      <x:c r="AJ39" s="32" t="n">
        <x:v>0</x:v>
      </x:c>
      <x:c r="AK39" s="32" t="n">
        <x:v>2</x:v>
      </x:c>
      <x:c r="AL39" s="32" t="n">
        <x:v>0</x:v>
      </x:c>
      <x:c r="AM39" s="32" t="n">
        <x:v>0</x:v>
      </x:c>
      <x:c r="AN39" s="32" t="str">
        <x:v>Yes</x:v>
      </x:c>
      <x:c r="AO39" s="32" t="str">
        <x:v>BATCH-ACC-D4</x:v>
      </x:c>
      <x:c r="AP39" s="33" t="str">
        <x:v>Matched</x:v>
      </x:c>
    </x:row>
    <x:row r="40">
      <x:c r="A40" s="49" t="n">
        <x:v>46227</x:v>
      </x:c>
      <x:c r="B40" s="32" t="str">
        <x:v>20:30</x:v>
      </x:c>
      <x:c r="C40" s="32" t="str">
        <x:v>Account Slot 7</x:v>
      </x:c>
      <x:c r="D40" s="32" t="str">
        <x:v>B</x:v>
      </x:c>
      <x:c r="E40" s="32" t="str">
        <x:v>Active</x:v>
      </x:c>
      <x:c r="F40" s="32" t="n">
        <x:v>3</x:v>
      </x:c>
      <x:c r="G40" s="32" t="n">
        <x:v>3</x:v>
      </x:c>
      <x:c r="H40" s="32" t="n">
        <x:v>0</x:v>
      </x:c>
      <x:c r="I40" s="32" t="n">
        <x:v>172</x:v>
      </x:c>
      <x:c r="J40" s="32" t="n">
        <x:v>87</x:v>
      </x:c>
      <x:c r="K40" s="32" t="n">
        <x:v>986</x:v>
      </x:c>
      <x:c r="L40" s="32" t="n">
        <x:v>6</x:v>
      </x:c>
      <x:c r="M40" s="32" t="n">
        <x:v>22</x:v>
      </x:c>
      <x:c r="N40" s="32" t="n">
        <x:v>3</x:v>
      </x:c>
      <x:c r="O40" s="32" t="str">
        <x:v>viewer_case_4_7</x:v>
      </x:c>
      <x:c r="P40" s="32" t="str">
        <x:v>Complete</x:v>
      </x:c>
      <x:c r="Q40" s="32" t="n">
        <x:v>1</x:v>
      </x:c>
      <x:c r="R40" s="32" t="str">
        <x:v>follower_case_4_7</x:v>
      </x:c>
      <x:c r="S40" s="32" t="str">
        <x:v>Complete</x:v>
      </x:c>
      <x:c r="T40" s="32" t="str">
        <x:v>No</x:v>
      </x:c>
      <x:c r="U40" s="32" t="str">
        <x:v>No</x:v>
      </x:c>
      <x:c r="V40" s="32" t="str"/>
      <x:c r="W40" s="32" t="str">
        <x:v>EVG-ACC-4-7</x:v>
      </x:c>
      <x:c r="X40" s="32" t="str">
        <x:v>Interview Candidate</x:v>
      </x:c>
      <x:c r="Y40" s="32" t="str">
        <x:v>Pass</x:v>
      </x:c>
      <x:c r="Z40" s="32" t="str">
        <x:v>Synthetic daily snapshot</x:v>
      </x:c>
      <x:c r="AA40" s="32" t="str">
        <x:v>Advanced</x:v>
      </x:c>
      <x:c r="AB40" s="32" t="str">
        <x:v>N/A</x:v>
      </x:c>
      <x:c r="AC40" s="32" t="str">
        <x:v>Neutral</x:v>
      </x:c>
      <x:c r="AD40" s="32" t="str">
        <x:v>Synthetic bio 7</x:v>
      </x:c>
      <x:c r="AE40" s="32" t="str">
        <x:v>No</x:v>
      </x:c>
      <x:c r="AF40" s="32" t="str">
        <x:v>interview_assets/profile/slot_7.png</x:v>
      </x:c>
      <x:c r="AG40" s="32" t="str">
        <x:v>Complete</x:v>
      </x:c>
      <x:c r="AH40" s="32" t="n">
        <x:v>6</x:v>
      </x:c>
      <x:c r="AI40" s="32" t="n">
        <x:v>1</x:v>
      </x:c>
      <x:c r="AJ40" s="32" t="n">
        <x:v>0</x:v>
      </x:c>
      <x:c r="AK40" s="32" t="n">
        <x:v>3</x:v>
      </x:c>
      <x:c r="AL40" s="32" t="n">
        <x:v>1</x:v>
      </x:c>
      <x:c r="AM40" s="32" t="n">
        <x:v>1</x:v>
      </x:c>
      <x:c r="AN40" s="32" t="str">
        <x:v>Yes</x:v>
      </x:c>
      <x:c r="AO40" s="32" t="str">
        <x:v>BATCH-ACC-D4</x:v>
      </x:c>
      <x:c r="AP40" s="33" t="str">
        <x:v>Matched</x:v>
      </x:c>
    </x:row>
    <x:row r="41">
      <x:c r="A41" s="49" t="n">
        <x:v>46227</x:v>
      </x:c>
      <x:c r="B41" s="32" t="str">
        <x:v>20:30</x:v>
      </x:c>
      <x:c r="C41" s="32" t="str">
        <x:v>Account Slot 8</x:v>
      </x:c>
      <x:c r="D41" s="32" t="str">
        <x:v>B</x:v>
      </x:c>
      <x:c r="E41" s="32" t="str">
        <x:v>Active</x:v>
      </x:c>
      <x:c r="F41" s="32" t="n">
        <x:v>3</x:v>
      </x:c>
      <x:c r="G41" s="32" t="n">
        <x:v>3</x:v>
      </x:c>
      <x:c r="H41" s="32" t="n">
        <x:v>2</x:v>
      </x:c>
      <x:c r="I41" s="32" t="n">
        <x:v>179</x:v>
      </x:c>
      <x:c r="J41" s="32" t="n">
        <x:v>88</x:v>
      </x:c>
      <x:c r="K41" s="32" t="n">
        <x:v>997</x:v>
      </x:c>
      <x:c r="L41" s="32" t="n">
        <x:v>3</x:v>
      </x:c>
      <x:c r="M41" s="32" t="n">
        <x:v>23</x:v>
      </x:c>
      <x:c r="N41" s="32" t="n">
        <x:v>4</x:v>
      </x:c>
      <x:c r="O41" s="32" t="str">
        <x:v>viewer_case_4_8</x:v>
      </x:c>
      <x:c r="P41" s="32" t="str">
        <x:v>Complete</x:v>
      </x:c>
      <x:c r="Q41" s="32" t="n">
        <x:v>2</x:v>
      </x:c>
      <x:c r="R41" s="32" t="str">
        <x:v>follower_case_4_8</x:v>
      </x:c>
      <x:c r="S41" s="32" t="str">
        <x:v>Complete</x:v>
      </x:c>
      <x:c r="T41" s="32" t="str">
        <x:v>Yes</x:v>
      </x:c>
      <x:c r="U41" s="32" t="str">
        <x:v>No</x:v>
      </x:c>
      <x:c r="V41" s="32" t="str"/>
      <x:c r="W41" s="32" t="str">
        <x:v>EVG-ACC-4-8</x:v>
      </x:c>
      <x:c r="X41" s="32" t="str">
        <x:v>Interview Candidate</x:v>
      </x:c>
      <x:c r="Y41" s="32" t="str">
        <x:v>Pass</x:v>
      </x:c>
      <x:c r="Z41" s="32" t="str">
        <x:v>Synthetic daily snapshot</x:v>
      </x:c>
      <x:c r="AA41" s="32" t="str">
        <x:v>Advanced</x:v>
      </x:c>
      <x:c r="AB41" s="32" t="str">
        <x:v>N/A</x:v>
      </x:c>
      <x:c r="AC41" s="32" t="str">
        <x:v>Styled</x:v>
      </x:c>
      <x:c r="AD41" s="32" t="str">
        <x:v>Synthetic bio 8</x:v>
      </x:c>
      <x:c r="AE41" s="32" t="str">
        <x:v>No</x:v>
      </x:c>
      <x:c r="AF41" s="32" t="str">
        <x:v>interview_assets/profile/slot_8.png</x:v>
      </x:c>
      <x:c r="AG41" s="32" t="str">
        <x:v>Complete</x:v>
      </x:c>
      <x:c r="AH41" s="32" t="n">
        <x:v>3</x:v>
      </x:c>
      <x:c r="AI41" s="32" t="n">
        <x:v>0</x:v>
      </x:c>
      <x:c r="AJ41" s="32" t="n">
        <x:v>0</x:v>
      </x:c>
      <x:c r="AK41" s="32" t="n">
        <x:v>0</x:v>
      </x:c>
      <x:c r="AL41" s="32" t="n">
        <x:v>2</x:v>
      </x:c>
      <x:c r="AM41" s="32" t="n">
        <x:v>0</x:v>
      </x:c>
      <x:c r="AN41" s="32" t="str">
        <x:v>Yes</x:v>
      </x:c>
      <x:c r="AO41" s="32" t="str">
        <x:v>BATCH-ACC-D4</x:v>
      </x:c>
      <x:c r="AP41" s="33" t="str">
        <x:v>Matched</x:v>
      </x:c>
    </x:row>
    <x:row r="42">
      <x:c r="A42" s="49" t="n">
        <x:v>46227</x:v>
      </x:c>
      <x:c r="B42" s="32" t="str">
        <x:v>20:30</x:v>
      </x:c>
      <x:c r="C42" s="32" t="str">
        <x:v>Account Slot 9</x:v>
      </x:c>
      <x:c r="D42" s="32" t="str">
        <x:v>B</x:v>
      </x:c>
      <x:c r="E42" s="32" t="str">
        <x:v>Active</x:v>
      </x:c>
      <x:c r="F42" s="32" t="n">
        <x:v>3</x:v>
      </x:c>
      <x:c r="G42" s="32" t="n">
        <x:v>3</x:v>
      </x:c>
      <x:c r="H42" s="32" t="n">
        <x:v>2</x:v>
      </x:c>
      <x:c r="I42" s="32" t="n">
        <x:v>186</x:v>
      </x:c>
      <x:c r="J42" s="32" t="n">
        <x:v>89</x:v>
      </x:c>
      <x:c r="K42" s="32" t="n">
        <x:v>1008</x:v>
      </x:c>
      <x:c r="L42" s="32" t="n">
        <x:v>4</x:v>
      </x:c>
      <x:c r="M42" s="32" t="n">
        <x:v>24</x:v>
      </x:c>
      <x:c r="N42" s="32" t="n">
        <x:v>2</x:v>
      </x:c>
      <x:c r="O42" s="32" t="str">
        <x:v>viewer_case_4_9</x:v>
      </x:c>
      <x:c r="P42" s="32" t="str">
        <x:v>Complete</x:v>
      </x:c>
      <x:c r="Q42" s="32" t="n">
        <x:v>0</x:v>
      </x:c>
      <x:c r="R42" s="32" t="str">
        <x:v>follower_case_4_9</x:v>
      </x:c>
      <x:c r="S42" s="32" t="str">
        <x:v>Complete</x:v>
      </x:c>
      <x:c r="T42" s="32" t="str">
        <x:v>Yes</x:v>
      </x:c>
      <x:c r="U42" s="32" t="str">
        <x:v>No</x:v>
      </x:c>
      <x:c r="V42" s="32" t="str"/>
      <x:c r="W42" s="32" t="str">
        <x:v>EVG-ACC-4-9</x:v>
      </x:c>
      <x:c r="X42" s="32" t="str">
        <x:v>Interview Candidate</x:v>
      </x:c>
      <x:c r="Y42" s="32" t="str">
        <x:v>Pass</x:v>
      </x:c>
      <x:c r="Z42" s="32" t="str">
        <x:v>Synthetic daily snapshot</x:v>
      </x:c>
      <x:c r="AA42" s="32" t="str">
        <x:v>Advanced</x:v>
      </x:c>
      <x:c r="AB42" s="32" t="str">
        <x:v>N/A</x:v>
      </x:c>
      <x:c r="AC42" s="32" t="str">
        <x:v>Neutral</x:v>
      </x:c>
      <x:c r="AD42" s="32" t="str">
        <x:v>Synthetic bio 9</x:v>
      </x:c>
      <x:c r="AE42" s="32" t="str">
        <x:v>No</x:v>
      </x:c>
      <x:c r="AF42" s="32" t="str">
        <x:v>interview_assets/profile/slot_9.png</x:v>
      </x:c>
      <x:c r="AG42" s="32" t="str">
        <x:v>Complete</x:v>
      </x:c>
      <x:c r="AH42" s="32" t="n">
        <x:v>4</x:v>
      </x:c>
      <x:c r="AI42" s="32" t="n">
        <x:v>1</x:v>
      </x:c>
      <x:c r="AJ42" s="32" t="n">
        <x:v>0</x:v>
      </x:c>
      <x:c r="AK42" s="32" t="n">
        <x:v>1</x:v>
      </x:c>
      <x:c r="AL42" s="32" t="n">
        <x:v>0</x:v>
      </x:c>
      <x:c r="AM42" s="32" t="n">
        <x:v>1</x:v>
      </x:c>
      <x:c r="AN42" s="32" t="str">
        <x:v>Yes</x:v>
      </x:c>
      <x:c r="AO42" s="32" t="str">
        <x:v>BATCH-ACC-D4</x:v>
      </x:c>
      <x:c r="AP42" s="33" t="str">
        <x:v>Matched</x:v>
      </x:c>
    </x:row>
    <x:row r="43">
      <x:c r="A43" s="50" t="n">
        <x:v>46227</x:v>
      </x:c>
      <x:c r="B43" s="35" t="str">
        <x:v>20:30</x:v>
      </x:c>
      <x:c r="C43" s="35" t="str">
        <x:v>Account Slot 10</x:v>
      </x:c>
      <x:c r="D43" s="35" t="str">
        <x:v>B</x:v>
      </x:c>
      <x:c r="E43" s="35" t="str">
        <x:v>Active</x:v>
      </x:c>
      <x:c r="F43" s="35" t="n">
        <x:v>3</x:v>
      </x:c>
      <x:c r="G43" s="35" t="n">
        <x:v>3</x:v>
      </x:c>
      <x:c r="H43" s="35" t="n">
        <x:v>0</x:v>
      </x:c>
      <x:c r="I43" s="35" t="n">
        <x:v>193</x:v>
      </x:c>
      <x:c r="J43" s="35" t="n">
        <x:v>90</x:v>
      </x:c>
      <x:c r="K43" s="35" t="n">
        <x:v>1019</x:v>
      </x:c>
      <x:c r="L43" s="35" t="n">
        <x:v>5</x:v>
      </x:c>
      <x:c r="M43" s="35" t="n">
        <x:v>25</x:v>
      </x:c>
      <x:c r="N43" s="35" t="n">
        <x:v>3</x:v>
      </x:c>
      <x:c r="O43" s="35" t="str">
        <x:v>viewer_case_4_10</x:v>
      </x:c>
      <x:c r="P43" s="35" t="str">
        <x:v>Complete</x:v>
      </x:c>
      <x:c r="Q43" s="35" t="n">
        <x:v>1</x:v>
      </x:c>
      <x:c r="R43" s="35" t="str">
        <x:v>follower_case_4_10</x:v>
      </x:c>
      <x:c r="S43" s="35" t="str">
        <x:v>Complete</x:v>
      </x:c>
      <x:c r="T43" s="35" t="str">
        <x:v>No</x:v>
      </x:c>
      <x:c r="U43" s="35" t="str">
        <x:v>No</x:v>
      </x:c>
      <x:c r="V43" s="35" t="str"/>
      <x:c r="W43" s="35" t="str">
        <x:v>EVG-ACC-4-10</x:v>
      </x:c>
      <x:c r="X43" s="35" t="str">
        <x:v>Interview Candidate</x:v>
      </x:c>
      <x:c r="Y43" s="35" t="str">
        <x:v>Pass</x:v>
      </x:c>
      <x:c r="Z43" s="35" t="str">
        <x:v>Synthetic daily snapshot</x:v>
      </x:c>
      <x:c r="AA43" s="35" t="str">
        <x:v>Advanced</x:v>
      </x:c>
      <x:c r="AB43" s="35" t="str">
        <x:v>N/A</x:v>
      </x:c>
      <x:c r="AC43" s="35" t="str">
        <x:v>Styled</x:v>
      </x:c>
      <x:c r="AD43" s="35" t="str">
        <x:v>Synthetic bio 10</x:v>
      </x:c>
      <x:c r="AE43" s="35" t="str">
        <x:v>No</x:v>
      </x:c>
      <x:c r="AF43" s="35" t="str">
        <x:v>interview_assets/profile/slot_10.png</x:v>
      </x:c>
      <x:c r="AG43" s="35" t="str">
        <x:v>Complete</x:v>
      </x:c>
      <x:c r="AH43" s="35" t="n">
        <x:v>5</x:v>
      </x:c>
      <x:c r="AI43" s="35" t="n">
        <x:v>0</x:v>
      </x:c>
      <x:c r="AJ43" s="35" t="n">
        <x:v>0</x:v>
      </x:c>
      <x:c r="AK43" s="35" t="n">
        <x:v>2</x:v>
      </x:c>
      <x:c r="AL43" s="35" t="n">
        <x:v>1</x:v>
      </x:c>
      <x:c r="AM43" s="35" t="n">
        <x:v>0</x:v>
      </x:c>
      <x:c r="AN43" s="35" t="str">
        <x:v>Yes</x:v>
      </x:c>
      <x:c r="AO43" s="35" t="str">
        <x:v>BATCH-ACC-D4</x:v>
      </x:c>
      <x:c r="AP43" s="36" t="str">
        <x:v>Matched</x:v>
      </x:c>
    </x:row>
  </x:sheetData>
  <x:mergeCells>
    <x:mergeCell ref="A1:H1"/>
    <x:mergeCell ref="A2:H2"/>
  </x:mergeCells>
  <x:conditionalFormatting sqref="AP5:AP43">
    <x:cfRule type="containsText" dxfId="3" priority="1" operator="containsText" text="Matched"/>
    <x:cfRule type="containsText" dxfId="4" priority="2" operator="containsText" text="Mismatch"/>
    <x:cfRule type="containsText" dxfId="5" priority="3" operator="containsText" text="Missing"/>
  </x:conditionalFormatting>
  <x:dataValidations count="3">
    <x:dataValidation type="list" sqref="E5:E43">
      <x:formula1>"Active,Paused,Blocked"</x:formula1>
    </x:dataValidation>
    <x:dataValidation type="list" sqref="Y5:Y43">
      <x:formula1>"Pass,Review,Fail"</x:formula1>
    </x:dataValidation>
    <x:dataValidation type="list" sqref="AP5:AP43">
      <x:formula1>"Matched,Mismatch,Missing"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2aadc7079b47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</x:cols>
  <x:sheetData>
    <x:row r="1" ht="28" customHeight="1">
      <x:c r="A1" s="3" t="str">
        <x:v>03 Daily Brand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brand/shop snapshot. Reconcile source values before closeout.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Date</x:v>
      </x:c>
      <x:c r="B4" s="16" t="str">
        <x:v>Capture Time</x:v>
      </x:c>
      <x:c r="C4" s="16" t="str">
        <x:v>Brand Account</x:v>
      </x:c>
      <x:c r="D4" s="16" t="str">
        <x:v>Brand Account Action Status</x:v>
      </x:c>
      <x:c r="E4" s="16" t="str">
        <x:v>Followers</x:v>
      </x:c>
      <x:c r="F4" s="16" t="str">
        <x:v>Likes</x:v>
      </x:c>
      <x:c r="G4" s="16" t="str">
        <x:v>Video Count</x:v>
      </x:c>
      <x:c r="H4" s="16" t="str">
        <x:v>Profile Views</x:v>
      </x:c>
      <x:c r="I4" s="16" t="str">
        <x:v>Visible Visitor Count</x:v>
      </x:c>
      <x:c r="J4" s="16" t="str">
        <x:v>New Visitor List</x:v>
      </x:c>
      <x:c r="K4" s="16" t="str">
        <x:v>Visitor List Completeness</x:v>
      </x:c>
      <x:c r="L4" s="16" t="str">
        <x:v>New Followers Count</x:v>
      </x:c>
      <x:c r="M4" s="16" t="str">
        <x:v>New Follower List</x:v>
      </x:c>
      <x:c r="N4" s="16" t="str">
        <x:v>Follower List Completeness</x:v>
      </x:c>
      <x:c r="O4" s="16" t="str">
        <x:v>Shop Visits</x:v>
      </x:c>
      <x:c r="P4" s="16" t="str">
        <x:v>Product Impressions</x:v>
      </x:c>
      <x:c r="Q4" s="16" t="str">
        <x:v>Product Clicks</x:v>
      </x:c>
      <x:c r="R4" s="16" t="str">
        <x:v>Add to Cart</x:v>
      </x:c>
      <x:c r="S4" s="16" t="str">
        <x:v>Orders</x:v>
      </x:c>
      <x:c r="T4" s="16" t="str">
        <x:v>GMV</x:v>
      </x:c>
      <x:c r="U4" s="16" t="str">
        <x:v>Top Product</x:v>
      </x:c>
      <x:c r="V4" s="16" t="str">
        <x:v>Brand Organic Activity</x:v>
      </x:c>
      <x:c r="W4" s="16" t="str">
        <x:v>Live Activity</x:v>
      </x:c>
      <x:c r="X4" s="16" t="str">
        <x:v>Paid Traffic Activity</x:v>
      </x:c>
      <x:c r="Y4" s="16" t="str">
        <x:v>Viral Video Note</x:v>
      </x:c>
      <x:c r="Z4" s="16" t="str">
        <x:v>Evidence Group ID</x:v>
      </x:c>
      <x:c r="AA4" s="16" t="str">
        <x:v>Data Owner</x:v>
      </x:c>
      <x:c r="AB4" s="16" t="str">
        <x:v>QC Status</x:v>
      </x:c>
      <x:c r="AC4" s="16" t="str">
        <x:v>Notes</x:v>
      </x:c>
      <x:c r="AD4" s="16" t="str">
        <x:v>Import Batch ID</x:v>
      </x:c>
      <x:c r="AE4" s="17" t="str">
        <x:v>Reconciliation Status</x:v>
      </x:c>
    </x:row>
    <x:row r="5">
      <x:c r="A5" s="48" t="n">
        <x:v>46224</x:v>
      </x:c>
      <x:c r="B5" s="29" t="str">
        <x:v>21:00</x:v>
      </x:c>
      <x:c r="C5" s="29" t="str">
        <x:v>Brand Account SYNTHETIC</x:v>
      </x:c>
      <x:c r="D5" s="29" t="str">
        <x:v>Active</x:v>
      </x:c>
      <x:c r="E5" s="29" t="n">
        <x:v>10000</x:v>
      </x:c>
      <x:c r="F5" s="29" t="n">
        <x:v>25000</x:v>
      </x:c>
      <x:c r="G5" s="29" t="n">
        <x:v>48</x:v>
      </x:c>
      <x:c r="H5" s="29" t="n">
        <x:v>240</x:v>
      </x:c>
      <x:c r="I5" s="29" t="n">
        <x:v>30</x:v>
      </x:c>
      <x:c r="J5" s="29" t="str">
        <x:v>visitor_case_1</x:v>
      </x:c>
      <x:c r="K5" s="29" t="str">
        <x:v>Complete</x:v>
      </x:c>
      <x:c r="L5" s="29" t="n">
        <x:v>12</x:v>
      </x:c>
      <x:c r="M5" s="29" t="str">
        <x:v>brand_follower_case_1</x:v>
      </x:c>
      <x:c r="N5" s="29" t="str">
        <x:v>Complete</x:v>
      </x:c>
      <x:c r="O5" s="29" t="n">
        <x:v>85</x:v>
      </x:c>
      <x:c r="P5" s="29" t="n">
        <x:v>1500</x:v>
      </x:c>
      <x:c r="Q5" s="29" t="n">
        <x:v>210</x:v>
      </x:c>
      <x:c r="R5" s="29" t="n">
        <x:v>24</x:v>
      </x:c>
      <x:c r="S5" s="29" t="n">
        <x:v>4</x:v>
      </x:c>
      <x:c r="T5" s="29" t="n">
        <x:v>3200</x:v>
      </x:c>
      <x:c r="U5" s="29" t="str">
        <x:v>PROD-001</x:v>
      </x:c>
      <x:c r="V5" s="29" t="str">
        <x:v>Normal</x:v>
      </x:c>
      <x:c r="W5" s="29" t="str">
        <x:v>None</x:v>
      </x:c>
      <x:c r="X5" s="29" t="str">
        <x:v>None</x:v>
      </x:c>
      <x:c r="Y5" s="29" t="str">
        <x:v>No anomaly</x:v>
      </x:c>
      <x:c r="Z5" s="29" t="str">
        <x:v>EVG-BRAND-1</x:v>
      </x:c>
      <x:c r="AA5" s="29" t="str">
        <x:v>Interview Candidate</x:v>
      </x:c>
      <x:c r="AB5" s="29" t="str">
        <x:v>Pass</x:v>
      </x:c>
      <x:c r="AC5" s="29" t="str">
        <x:v>Synthetic brand snapshot</x:v>
      </x:c>
      <x:c r="AD5" s="29" t="str">
        <x:v>BATCH-BRAND-D1</x:v>
      </x:c>
      <x:c r="AE5" s="30" t="str">
        <x:v>Matched</x:v>
      </x:c>
    </x:row>
    <x:row r="6">
      <x:c r="A6" s="49" t="n">
        <x:v>46225</x:v>
      </x:c>
      <x:c r="B6" s="32" t="str">
        <x:v>21:00</x:v>
      </x:c>
      <x:c r="C6" s="32" t="str">
        <x:v>Brand Account SYNTHETIC</x:v>
      </x:c>
      <x:c r="D6" s="32" t="str">
        <x:v>Active</x:v>
      </x:c>
      <x:c r="E6" s="32" t="n">
        <x:v>10042</x:v>
      </x:c>
      <x:c r="F6" s="32" t="n">
        <x:v>25110</x:v>
      </x:c>
      <x:c r="G6" s="32" t="n">
        <x:v>49</x:v>
      </x:c>
      <x:c r="H6" s="32" t="n">
        <x:v>255</x:v>
      </x:c>
      <x:c r="I6" s="32" t="n">
        <x:v>32</x:v>
      </x:c>
      <x:c r="J6" s="32" t="str">
        <x:v>visitor_case_2</x:v>
      </x:c>
      <x:c r="K6" s="32" t="str">
        <x:v>Complete</x:v>
      </x:c>
      <x:c r="L6" s="32" t="n">
        <x:v>13</x:v>
      </x:c>
      <x:c r="M6" s="32" t="str">
        <x:v>brand_follower_case_2</x:v>
      </x:c>
      <x:c r="N6" s="32" t="str">
        <x:v>Complete</x:v>
      </x:c>
      <x:c r="O6" s="32" t="n">
        <x:v>89</x:v>
      </x:c>
      <x:c r="P6" s="32" t="n">
        <x:v>1575</x:v>
      </x:c>
      <x:c r="Q6" s="32" t="n">
        <x:v>219</x:v>
      </x:c>
      <x:c r="R6" s="32" t="n">
        <x:v>25</x:v>
      </x:c>
      <x:c r="S6" s="32" t="n">
        <x:v>5</x:v>
      </x:c>
      <x:c r="T6" s="32" t="n">
        <x:v>3610</x:v>
      </x:c>
      <x:c r="U6" s="32" t="str">
        <x:v>PROD-002</x:v>
      </x:c>
      <x:c r="V6" s="32" t="str">
        <x:v>Normal</x:v>
      </x:c>
      <x:c r="W6" s="32" t="str">
        <x:v>None</x:v>
      </x:c>
      <x:c r="X6" s="32" t="str">
        <x:v>None</x:v>
      </x:c>
      <x:c r="Y6" s="32" t="str">
        <x:v>No anomaly</x:v>
      </x:c>
      <x:c r="Z6" s="32" t="str">
        <x:v>EVG-BRAND-2</x:v>
      </x:c>
      <x:c r="AA6" s="32" t="str">
        <x:v>Interview Candidate</x:v>
      </x:c>
      <x:c r="AB6" s="32" t="str">
        <x:v>Pass</x:v>
      </x:c>
      <x:c r="AC6" s="32" t="str">
        <x:v>Synthetic brand snapshot</x:v>
      </x:c>
      <x:c r="AD6" s="32" t="str">
        <x:v>BATCH-BRAND-D2</x:v>
      </x:c>
      <x:c r="AE6" s="33" t="str">
        <x:v>Matched</x:v>
      </x:c>
    </x:row>
    <x:row r="7">
      <x:c r="A7" s="49" t="n">
        <x:v>46226</x:v>
      </x:c>
      <x:c r="B7" s="32" t="str">
        <x:v>21:00</x:v>
      </x:c>
      <x:c r="C7" s="32" t="str">
        <x:v>Brand Account SYNTHETIC</x:v>
      </x:c>
      <x:c r="D7" s="32" t="str">
        <x:v>Active</x:v>
      </x:c>
      <x:c r="E7" s="32" t="n">
        <x:v>10084</x:v>
      </x:c>
      <x:c r="F7" s="32" t="n">
        <x:v>25220</x:v>
      </x:c>
      <x:c r="G7" s="32" t="n">
        <x:v>50</x:v>
      </x:c>
      <x:c r="H7" s="32" t="n">
        <x:v>270</x:v>
      </x:c>
      <x:c r="I7" s="32" t="n">
        <x:v>34</x:v>
      </x:c>
      <x:c r="J7" s="32" t="str">
        <x:v>visitor_case_3</x:v>
      </x:c>
      <x:c r="K7" s="32" t="str">
        <x:v>Complete</x:v>
      </x:c>
      <x:c r="L7" s="32" t="n">
        <x:v>14</x:v>
      </x:c>
      <x:c r="M7" s="32" t="str">
        <x:v>brand_follower_case_3</x:v>
      </x:c>
      <x:c r="N7" s="32" t="str">
        <x:v>Complete</x:v>
      </x:c>
      <x:c r="O7" s="32" t="n">
        <x:v>93</x:v>
      </x:c>
      <x:c r="P7" s="32" t="n">
        <x:v>1650</x:v>
      </x:c>
      <x:c r="Q7" s="32" t="n">
        <x:v>228</x:v>
      </x:c>
      <x:c r="R7" s="32" t="n">
        <x:v>26</x:v>
      </x:c>
      <x:c r="S7" s="32" t="n">
        <x:v>6</x:v>
      </x:c>
      <x:c r="T7" s="32" t="n">
        <x:v>4020</x:v>
      </x:c>
      <x:c r="U7" s="32" t="str">
        <x:v>PROD-003</x:v>
      </x:c>
      <x:c r="V7" s="32" t="str">
        <x:v>Normal</x:v>
      </x:c>
      <x:c r="W7" s="32" t="str">
        <x:v>None</x:v>
      </x:c>
      <x:c r="X7" s="32" t="str">
        <x:v>None</x:v>
      </x:c>
      <x:c r="Y7" s="32" t="str">
        <x:v>No anomaly</x:v>
      </x:c>
      <x:c r="Z7" s="32" t="str">
        <x:v>EVG-BRAND-3</x:v>
      </x:c>
      <x:c r="AA7" s="32" t="str">
        <x:v>Interview Candidate</x:v>
      </x:c>
      <x:c r="AB7" s="32" t="str">
        <x:v>Pass</x:v>
      </x:c>
      <x:c r="AC7" s="32" t="str">
        <x:v>Synthetic brand snapshot</x:v>
      </x:c>
      <x:c r="AD7" s="32" t="str">
        <x:v>BATCH-BRAND-D3</x:v>
      </x:c>
      <x:c r="AE7" s="33" t="str">
        <x:v>Matched</x:v>
      </x:c>
    </x:row>
    <x:row r="8">
      <x:c r="A8" s="50" t="n">
        <x:v>46227</x:v>
      </x:c>
      <x:c r="B8" s="35" t="str">
        <x:v>21:00</x:v>
      </x:c>
      <x:c r="C8" s="35" t="str">
        <x:v>Brand Account SYNTHETIC</x:v>
      </x:c>
      <x:c r="D8" s="35" t="str">
        <x:v>Active</x:v>
      </x:c>
      <x:c r="E8" s="35" t="n">
        <x:v>10126</x:v>
      </x:c>
      <x:c r="F8" s="35" t="n">
        <x:v>25330</x:v>
      </x:c>
      <x:c r="G8" s="35" t="n">
        <x:v>51</x:v>
      </x:c>
      <x:c r="H8" s="35" t="n">
        <x:v>285</x:v>
      </x:c>
      <x:c r="I8" s="35" t="n">
        <x:v>36</x:v>
      </x:c>
      <x:c r="J8" s="35" t="str">
        <x:v>visitor_case_4</x:v>
      </x:c>
      <x:c r="K8" s="35" t="str">
        <x:v>Complete</x:v>
      </x:c>
      <x:c r="L8" s="35" t="n">
        <x:v>15</x:v>
      </x:c>
      <x:c r="M8" s="35" t="str">
        <x:v>brand_follower_case_4</x:v>
      </x:c>
      <x:c r="N8" s="35" t="str">
        <x:v>Complete</x:v>
      </x:c>
      <x:c r="O8" s="35" t="n">
        <x:v>97</x:v>
      </x:c>
      <x:c r="P8" s="35" t="n">
        <x:v>1725</x:v>
      </x:c>
      <x:c r="Q8" s="35" t="n">
        <x:v>242</x:v>
      </x:c>
      <x:c r="R8" s="35" t="n">
        <x:v>27</x:v>
      </x:c>
      <x:c r="S8" s="35" t="n">
        <x:v>7</x:v>
      </x:c>
      <x:c r="T8" s="35" t="n">
        <x:v>4430</x:v>
      </x:c>
      <x:c r="U8" s="35" t="str">
        <x:v>PROD-004</x:v>
      </x:c>
      <x:c r="V8" s="35" t="str">
        <x:v>Normal</x:v>
      </x:c>
      <x:c r="W8" s="35" t="str">
        <x:v>None</x:v>
      </x:c>
      <x:c r="X8" s="35" t="str">
        <x:v>None</x:v>
      </x:c>
      <x:c r="Y8" s="35" t="str">
        <x:v>No anomaly</x:v>
      </x:c>
      <x:c r="Z8" s="35" t="str">
        <x:v>EVG-BRAND-4</x:v>
      </x:c>
      <x:c r="AA8" s="35" t="str">
        <x:v>Interview Candidate</x:v>
      </x:c>
      <x:c r="AB8" s="35" t="str">
        <x:v>Pass</x:v>
      </x:c>
      <x:c r="AC8" s="35" t="str">
        <x:v>Synthetic brand snapshot</x:v>
      </x:c>
      <x:c r="AD8" s="35" t="str">
        <x:v>BATCH-BRAND-D4</x:v>
      </x:c>
      <x:c r="AE8" s="36" t="str">
        <x:v>Matched</x:v>
      </x:c>
    </x:row>
  </x:sheetData>
  <x:mergeCells>
    <x:mergeCell ref="A1:H1"/>
    <x:mergeCell ref="A2:H2"/>
  </x:mergeCells>
  <x:conditionalFormatting sqref="AE5:AE8">
    <x:cfRule type="containsText" dxfId="6" priority="1" operator="containsText" text="Matched"/>
    <x:cfRule type="containsText" dxfId="7" priority="2" operator="containsText" text="Mismatch"/>
  </x:conditionalFormatting>
  <x:dataValidations count="3">
    <x:dataValidation type="list" sqref="D5:D8">
      <x:formula1>"Active,Paused,Blocked"</x:formula1>
    </x:dataValidation>
    <x:dataValidation type="list" sqref="AB5:AB8">
      <x:formula1>"Pass,Review,Fail"</x:formula1>
    </x:dataValidation>
    <x:dataValidation type="list" sqref="AE5:AE8">
      <x:formula1>"Matched,Mismatch,Missing"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4ef9054b94a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</x:cols>
  <x:sheetData>
    <x:row r="1" ht="28" customHeight="1">
      <x:c r="A1" s="3" t="str">
        <x:v>04 Comment Execution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100 synthetic execution rows. Validate IDs, allocation, confirmation, latest 24h result, reply owner and evidence.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Date</x:v>
      </x:c>
      <x:c r="B4" s="16" t="str">
        <x:v>Comment ID</x:v>
      </x:c>
      <x:c r="C4" s="16" t="str">
        <x:v>Comment Account</x:v>
      </x:c>
      <x:c r="D4" s="16" t="str">
        <x:v>Account Display Name</x:v>
      </x:c>
      <x:c r="E4" s="16" t="str">
        <x:v>Post Time</x:v>
      </x:c>
      <x:c r="F4" s="16" t="str">
        <x:v>Target Creator</x:v>
      </x:c>
      <x:c r="G4" s="16" t="str">
        <x:v>Creator Category</x:v>
      </x:c>
      <x:c r="H4" s="16" t="str">
        <x:v>Target Video URL</x:v>
      </x:c>
      <x:c r="I4" s="16" t="str">
        <x:v>Video Topic</x:v>
      </x:c>
      <x:c r="J4" s="16" t="str">
        <x:v>Video Publish Time</x:v>
      </x:c>
      <x:c r="K4" s="16" t="str">
        <x:v>Video Views At Posting</x:v>
      </x:c>
      <x:c r="L4" s="16" t="str">
        <x:v>Video Likes At Posting</x:v>
      </x:c>
      <x:c r="M4" s="16" t="str">
        <x:v>Comment Placement</x:v>
      </x:c>
      <x:c r="N4" s="16" t="str">
        <x:v>Reply Target</x:v>
      </x:c>
      <x:c r="O4" s="16" t="str">
        <x:v>Comment Text</x:v>
      </x:c>
      <x:c r="P4" s="16" t="str">
        <x:v>Image Asset ID</x:v>
      </x:c>
      <x:c r="Q4" s="16" t="str">
        <x:v>Image Description</x:v>
      </x:c>
      <x:c r="R4" s="16" t="str">
        <x:v>Context Before Our Comment</x:v>
      </x:c>
      <x:c r="S4" s="16" t="str">
        <x:v>Context After Our Comment</x:v>
      </x:c>
      <x:c r="T4" s="16" t="str">
        <x:v>Send Status</x:v>
      </x:c>
      <x:c r="U4" s="16" t="str">
        <x:v>24h Visibility</x:v>
      </x:c>
      <x:c r="V4" s="16" t="str">
        <x:v>Raw Reply Count</x:v>
      </x:c>
      <x:c r="W4" s="16" t="str">
        <x:v>Raw Reply Text / Preview</x:v>
      </x:c>
      <x:c r="X4" s="16" t="str">
        <x:v>Self Reply Count</x:v>
      </x:c>
      <x:c r="Y4" s="16" t="str">
        <x:v>Evidence ID</x:v>
      </x:c>
      <x:c r="Z4" s="16" t="str">
        <x:v>Notes</x:v>
      </x:c>
      <x:c r="AA4" s="16" t="str">
        <x:v>Test Group</x:v>
      </x:c>
      <x:c r="AB4" s="16" t="str">
        <x:v>Cart Status</x:v>
      </x:c>
      <x:c r="AC4" s="16" t="str">
        <x:v>Avatar Type</x:v>
      </x:c>
      <x:c r="AD4" s="16" t="str">
        <x:v>Target Country</x:v>
      </x:c>
      <x:c r="AE4" s="16" t="str">
        <x:v>Creator Is Thai</x:v>
      </x:c>
      <x:c r="AF4" s="16" t="str">
        <x:v>Video Type Standard</x:v>
      </x:c>
      <x:c r="AG4" s="16" t="str">
        <x:v>Comment Library ID</x:v>
      </x:c>
      <x:c r="AH4" s="16" t="str">
        <x:v>Comment Language</x:v>
      </x:c>
      <x:c r="AI4" s="16" t="str">
        <x:v>Comment Type Standard</x:v>
      </x:c>
      <x:c r="AJ4" s="16" t="str">
        <x:v>Image Type Standard</x:v>
      </x:c>
      <x:c r="AK4" s="16" t="str">
        <x:v>Image Raw Path</x:v>
      </x:c>
      <x:c r="AL4" s="16" t="str">
        <x:v>Image Shared Path</x:v>
      </x:c>
      <x:c r="AM4" s="16" t="str">
        <x:v>Image File Returned</x:v>
      </x:c>
      <x:c r="AN4" s="16" t="str">
        <x:v>AI Image Analysis Status</x:v>
      </x:c>
      <x:c r="AO4" s="16" t="str">
        <x:v>User Reply Mark (Legacy)</x:v>
      </x:c>
      <x:c r="AP4" s="16" t="str">
        <x:v>User Purchase Intent Mark</x:v>
      </x:c>
      <x:c r="AQ4" s="16" t="str">
        <x:v>Follow-up Status</x:v>
      </x:c>
      <x:c r="AR4" s="16" t="str">
        <x:v>Image Fit To Context</x:v>
      </x:c>
      <x:c r="AS4" s="16" t="str">
        <x:v>Reply Owner Type</x:v>
      </x:c>
      <x:c r="AT4" s="16" t="str">
        <x:v>Account Instance ID</x:v>
      </x:c>
      <x:c r="AU4" s="16" t="str">
        <x:v>Account Username</x:v>
      </x:c>
      <x:c r="AV4" s="16" t="str">
        <x:v>Device ID</x:v>
      </x:c>
      <x:c r="AW4" s="16" t="str">
        <x:v>Task ID</x:v>
      </x:c>
      <x:c r="AX4" s="16" t="str">
        <x:v>Attempt ID</x:v>
      </x:c>
      <x:c r="AY4" s="16" t="str">
        <x:v>Posting Method</x:v>
      </x:c>
      <x:c r="AZ4" s="16" t="str">
        <x:v>Attempt Start Time</x:v>
      </x:c>
      <x:c r="BA4" s="16" t="str">
        <x:v>Attempt End Time</x:v>
      </x:c>
      <x:c r="BB4" s="16" t="str">
        <x:v>Session Valid</x:v>
      </x:c>
      <x:c r="BC4" s="16" t="str">
        <x:v>Post Confirmed</x:v>
      </x:c>
      <x:c r="BD4" s="16" t="str">
        <x:v>Failure Code</x:v>
      </x:c>
      <x:c r="BE4" s="16" t="str">
        <x:v>Failure Reason</x:v>
      </x:c>
      <x:c r="BF4" s="16" t="str">
        <x:v>CAPTCHA Detected</x:v>
      </x:c>
      <x:c r="BG4" s="16" t="str">
        <x:v>Reauth Required</x:v>
      </x:c>
      <x:c r="BH4" s="16" t="str">
        <x:v>Retry Count</x:v>
      </x:c>
      <x:c r="BI4" s="16" t="str">
        <x:v>Latest Verify Timepoint</x:v>
      </x:c>
      <x:c r="BJ4" s="16" t="str">
        <x:v>Verified User Reply Status</x:v>
      </x:c>
      <x:c r="BK4" s="17" t="str">
        <x:v>QC Exception Flag</x:v>
      </x:c>
    </x:row>
    <x:row r="5">
      <x:c r="A5" s="48" t="n">
        <x:v>46224</x:v>
      </x:c>
      <x:c r="B5" s="29" t="str">
        <x:v>IC-0001</x:v>
      </x:c>
      <x:c r="C5" s="29" t="str">
        <x:v>Account Slot 1</x:v>
      </x:c>
      <x:c r="D5" s="29" t="str">
        <x:v>Synthetic Display 1</x:v>
      </x:c>
      <x:c r="E5" s="29" t="str">
        <x:v>09:00</x:v>
      </x:c>
      <x:c r="F5" s="29" t="str">
        <x:v>creator_case_001</x:v>
      </x:c>
      <x:c r="G5" s="29" t="str">
        <x:v>Fashion</x:v>
      </x:c>
      <x:c r="H5" s="29" t="str">
        <x:v>https://video.invalid/case/V0001</x:v>
      </x:c>
      <x:c r="I5" s="29" t="str">
        <x:v>เสื้อเชิ้ตทำงาน</x:v>
      </x:c>
      <x:c r="J5" s="29" t="str">
        <x:v>2026-07-20 18:00</x:v>
      </x:c>
      <x:c r="K5" s="29" t="n">
        <x:v>1000</x:v>
      </x:c>
      <x:c r="L5" s="29" t="n">
        <x:v>90</x:v>
      </x:c>
      <x:c r="M5" s="29" t="str">
        <x:v>Reply</x:v>
      </x:c>
      <x:c r="N5" s="29" t="str">
        <x:v>Synthetic parent</x:v>
      </x:c>
      <x:c r="O5" s="29" t="str">
        <x:v>ลุคคอปกนี้ดูคลีนและใส่ไปทำงานได้จริงเลย ความวิบวับแบบเบา ๆ ในรูปทำให้เสื้อพื้นฐานดูมีคาแรกเตอร์โดยไม่ต้องใส่สร้อยเพิ่ม</x:v>
      </x:c>
      <x:c r="P5" s="29" t="str">
        <x:v>IMG002</x:v>
      </x:c>
      <x:c r="Q5" s="29" t="str">
        <x:v>White shirt with floral fashion-button details at the collar and cuff</x:v>
      </x:c>
      <x:c r="R5" s="29" t="str">
        <x:v>Synthetic context before</x:v>
      </x:c>
      <x:c r="S5" s="29" t="str">
        <x:v>Synthetic context after</x:v>
      </x:c>
      <x:c r="T5" s="29" t="str">
        <x:v>Posted</x:v>
      </x:c>
      <x:c r="U5" s="29" t="str">
        <x:f>IFERROR(VLOOKUP(B5&amp;"|24h",'COMMENT_RECHECK'!$V$5:$Y$204,2,FALSE),"Pending")</x:f>
        <x:v>Missing</x:v>
      </x:c>
      <x:c r="V5" s="29" t="n">
        <x:v>0</x:v>
      </x:c>
      <x:c r="W5" s="29" t="str"/>
      <x:c r="X5" s="29" t="n">
        <x:v>0</x:v>
      </x:c>
      <x:c r="Y5" s="29" t="str">
        <x:v>EVD-SYN-0001-POST</x:v>
      </x:c>
      <x:c r="Z5" s="29" t="str"/>
      <x:c r="AA5" s="29" t="str">
        <x:v>Core</x:v>
      </x:c>
      <x:c r="AB5" s="29" t="str">
        <x:v>N/A</x:v>
      </x:c>
      <x:c r="AC5" s="29" t="str">
        <x:v>Styled</x:v>
      </x:c>
      <x:c r="AD5" s="29" t="str">
        <x:v>TH</x:v>
      </x:c>
      <x:c r="AE5" s="29" t="str">
        <x:v>Yes</x:v>
      </x:c>
      <x:c r="AF5" s="29" t="str">
        <x:v>Standard</x:v>
      </x:c>
      <x:c r="AG5" s="29" t="str">
        <x:v>LIB-001</x:v>
      </x:c>
      <x:c r="AH5" s="29" t="str">
        <x:v>TH</x:v>
      </x:c>
      <x:c r="AI5" s="29" t="str">
        <x:v>Reply</x:v>
      </x:c>
      <x:c r="AJ5" s="29" t="str">
        <x:v>Reference</x:v>
      </x:c>
      <x:c r="AK5" s="29" t="str">
        <x:v>inputs/product_images/IMG002.png</x:v>
      </x:c>
      <x:c r="AL5" s="29" t="str"/>
      <x:c r="AM5" s="29" t="str">
        <x:v>Yes</x:v>
      </x:c>
      <x:c r="AN5" s="29" t="str">
        <x:v>Complete</x:v>
      </x:c>
      <x:c r="AO5" s="29" t="str"/>
      <x:c r="AP5" s="29" t="str">
        <x:v>No</x:v>
      </x:c>
      <x:c r="AQ5" s="29" t="str">
        <x:v>Not Started</x:v>
      </x:c>
      <x:c r="AR5" s="29" t="str">
        <x:v>Fit</x:v>
      </x:c>
      <x:c r="AS5" s="29" t="str">
        <x:f>IFERROR(VLOOKUP(B5&amp;"|24h",'COMMENT_RECHECK'!$V$5:$Y$204,3,FALSE),"")</x:f>
        <x:v>None</x:v>
      </x:c>
      <x:c r="AT5" s="29" t="str">
        <x:v>[SANITIZED]</x:v>
      </x:c>
      <x:c r="AU5" s="29" t="str">
        <x:v>case_account_01</x:v>
      </x:c>
      <x:c r="AV5" s="29" t="str">
        <x:v>[SANITIZED]</x:v>
      </x:c>
      <x:c r="AW5" s="29" t="str">
        <x:v>[SANITIZED]</x:v>
      </x:c>
      <x:c r="AX5" s="29" t="str">
        <x:v>[SANITIZED]</x:v>
      </x:c>
      <x:c r="AY5" s="29" t="str">
        <x:v>Manual Simulation</x:v>
      </x:c>
      <x:c r="AZ5" s="29" t="str">
        <x:v>2026-07-20 09:00</x:v>
      </x:c>
      <x:c r="BA5" s="29" t="str">
        <x:v>2026-07-20 09:00</x:v>
      </x:c>
      <x:c r="BB5" s="29" t="str">
        <x:v>Yes</x:v>
      </x:c>
      <x:c r="BC5" s="29" t="str">
        <x:v>Yes</x:v>
      </x:c>
      <x:c r="BD5" s="29" t="str"/>
      <x:c r="BE5" s="29" t="str"/>
      <x:c r="BF5" s="29" t="str">
        <x:v>No</x:v>
      </x:c>
      <x:c r="BG5" s="29" t="str">
        <x:v>No</x:v>
      </x:c>
      <x:c r="BH5" s="29" t="n">
        <x:v>0</x:v>
      </x:c>
      <x:c r="BI5" s="29" t="str">
        <x:v>24h</x:v>
      </x:c>
      <x:c r="BJ5" s="29" t="str">
        <x:f>IFERROR(VLOOKUP(B5&amp;"|24h",'COMMENT_RECHECK'!$V$5:$Y$204,4,FALSE),"Pending")</x:f>
        <x:v>No Verified User Reply</x:v>
      </x:c>
      <x:c r="BK5" s="30" t="str">
        <x:f>IF(OR(COUNTIF($B$5:$B$104,B5)&gt;1,AND(T5="Posted",BC5&lt;&gt;"Yes"),AND(OR(BJ5="Verified User Reply",BJ5="Mixed Reply"),Y5="")),"Review","OK")</x:f>
        <x:v>OK</x:v>
      </x:c>
    </x:row>
    <x:row r="6">
      <x:c r="A6" s="49" t="n">
        <x:v>46224</x:v>
      </x:c>
      <x:c r="B6" s="32" t="str">
        <x:v>IC-0002</x:v>
      </x:c>
      <x:c r="C6" s="32" t="str">
        <x:v>Account Slot 2</x:v>
      </x:c>
      <x:c r="D6" s="32" t="str">
        <x:v>Synthetic Display 2</x:v>
      </x:c>
      <x:c r="E6" s="32" t="str">
        <x:v>10:07</x:v>
      </x:c>
      <x:c r="F6" s="32" t="str">
        <x:v>creator_case_002</x:v>
      </x:c>
      <x:c r="G6" s="32" t="str">
        <x:v>DIY</x:v>
      </x:c>
      <x:c r="H6" s="32" t="str">
        <x:v>https://video.invalid/case/V0002</x:v>
      </x:c>
      <x:c r="I6" s="32" t="str">
        <x:v>แจ็กเก็ตเดนิม</x:v>
      </x:c>
      <x:c r="J6" s="32" t="str">
        <x:v>2026-07-20 18:00</x:v>
      </x:c>
      <x:c r="K6" s="32" t="n">
        <x:v>1037</x:v>
      </x:c>
      <x:c r="L6" s="32" t="n">
        <x:v>93</x:v>
      </x:c>
      <x:c r="M6" s="32" t="str">
        <x:v>Main comment</x:v>
      </x:c>
      <x:c r="N6" s="32" t="str">
        <x:v>Main comment</x:v>
      </x:c>
      <x:c r="O6" s="32" t="str">
        <x:v>ชอบการแมตช์สูทที่ดูสุภาพแต่ยังมีความแฟชั่นอยู่ค่ะ ลุคนี้ลองเพิ่มตัวครอบกระดุมโทนมุกกับ blazer แบบในรูป น่าจะดูแพงขึ้นพอดี</x:v>
      </x:c>
      <x:c r="P6" s="32" t="str">
        <x:v>IMG004</x:v>
      </x:c>
      <x:c r="Q6" s="32" t="str">
        <x:v>Polished black blazer look with pearl and monochrome fashion-button details</x:v>
      </x:c>
      <x:c r="R6" s="32" t="str">
        <x:v>Synthetic context before</x:v>
      </x:c>
      <x:c r="S6" s="32" t="str">
        <x:v>Synthetic context after</x:v>
      </x:c>
      <x:c r="T6" s="32" t="str">
        <x:v>Posted</x:v>
      </x:c>
      <x:c r="U6" s="32" t="str">
        <x:f>IFERROR(VLOOKUP(B6&amp;"|24h",'COMMENT_RECHECK'!$V$5:$Y$204,2,FALSE),"Pending")</x:f>
        <x:v>Visible</x:v>
      </x:c>
      <x:c r="V6" s="32" t="n">
        <x:v>0</x:v>
      </x:c>
      <x:c r="W6" s="32" t="str"/>
      <x:c r="X6" s="32" t="n">
        <x:v>0</x:v>
      </x:c>
      <x:c r="Y6" s="32" t="str">
        <x:v>EVD-SYN-0002-POST</x:v>
      </x:c>
      <x:c r="Z6" s="32" t="str"/>
      <x:c r="AA6" s="32" t="str">
        <x:v>Core</x:v>
      </x:c>
      <x:c r="AB6" s="32" t="str">
        <x:v>N/A</x:v>
      </x:c>
      <x:c r="AC6" s="32" t="str">
        <x:v>Neutral</x:v>
      </x:c>
      <x:c r="AD6" s="32" t="str">
        <x:v>TH</x:v>
      </x:c>
      <x:c r="AE6" s="32" t="str">
        <x:v>Yes</x:v>
      </x:c>
      <x:c r="AF6" s="32" t="str">
        <x:v>Standard</x:v>
      </x:c>
      <x:c r="AG6" s="32" t="str">
        <x:v>LIB-002</x:v>
      </x:c>
      <x:c r="AH6" s="32" t="str">
        <x:v>TH</x:v>
      </x:c>
      <x:c r="AI6" s="32" t="str">
        <x:v>Main</x:v>
      </x:c>
      <x:c r="AJ6" s="32" t="str">
        <x:v>None</x:v>
      </x:c>
      <x:c r="AK6" s="32" t="str">
        <x:v>inputs/product_images/IMG004.png</x:v>
      </x:c>
      <x:c r="AL6" s="32" t="str"/>
      <x:c r="AM6" s="32" t="str">
        <x:v>N/A</x:v>
      </x:c>
      <x:c r="AN6" s="32" t="str">
        <x:v>N/A</x:v>
      </x:c>
      <x:c r="AO6" s="32" t="str"/>
      <x:c r="AP6" s="32" t="str">
        <x:v>No</x:v>
      </x:c>
      <x:c r="AQ6" s="32" t="str">
        <x:v>Not Started</x:v>
      </x:c>
      <x:c r="AR6" s="32" t="str">
        <x:v>N/A</x:v>
      </x:c>
      <x:c r="AS6" s="32" t="str">
        <x:f>IFERROR(VLOOKUP(B6&amp;"|24h",'COMMENT_RECHECK'!$V$5:$Y$204,3,FALSE),"")</x:f>
        <x:v>None</x:v>
      </x:c>
      <x:c r="AT6" s="32" t="str">
        <x:v>[SANITIZED]</x:v>
      </x:c>
      <x:c r="AU6" s="32" t="str">
        <x:v>case_account_02</x:v>
      </x:c>
      <x:c r="AV6" s="32" t="str">
        <x:v>[SANITIZED]</x:v>
      </x:c>
      <x:c r="AW6" s="32" t="str">
        <x:v>[SANITIZED]</x:v>
      </x:c>
      <x:c r="AX6" s="32" t="str">
        <x:v>[SANITIZED]</x:v>
      </x:c>
      <x:c r="AY6" s="32" t="str">
        <x:v>Manual Simulation</x:v>
      </x:c>
      <x:c r="AZ6" s="32" t="str">
        <x:v>2026-07-20 10:07</x:v>
      </x:c>
      <x:c r="BA6" s="32" t="str">
        <x:v>2026-07-20 10:07</x:v>
      </x:c>
      <x:c r="BB6" s="32" t="str">
        <x:v>Yes</x:v>
      </x:c>
      <x:c r="BC6" s="32" t="str">
        <x:v>Yes</x:v>
      </x:c>
      <x:c r="BD6" s="32" t="str"/>
      <x:c r="BE6" s="32" t="str"/>
      <x:c r="BF6" s="32" t="str">
        <x:v>No</x:v>
      </x:c>
      <x:c r="BG6" s="32" t="str">
        <x:v>No</x:v>
      </x:c>
      <x:c r="BH6" s="32" t="n">
        <x:v>0</x:v>
      </x:c>
      <x:c r="BI6" s="32" t="str">
        <x:v>24h</x:v>
      </x:c>
      <x:c r="BJ6" s="32" t="str">
        <x:f>IFERROR(VLOOKUP(B6&amp;"|24h",'COMMENT_RECHECK'!$V$5:$Y$204,4,FALSE),"Pending")</x:f>
        <x:v>No Verified User Reply</x:v>
      </x:c>
      <x:c r="BK6" s="33" t="str">
        <x:f>IF(OR(COUNTIF($B$5:$B$104,B6)&gt;1,AND(T6="Posted",BC6&lt;&gt;"Yes"),AND(OR(BJ6="Verified User Reply",BJ6="Mixed Reply"),Y6="")),"Review","OK")</x:f>
        <x:v>OK</x:v>
      </x:c>
    </x:row>
    <x:row r="7">
      <x:c r="A7" s="49" t="n">
        <x:v>46224</x:v>
      </x:c>
      <x:c r="B7" s="32" t="str">
        <x:v>IC-0003</x:v>
      </x:c>
      <x:c r="C7" s="32" t="str">
        <x:v>Account Slot 3</x:v>
      </x:c>
      <x:c r="D7" s="32" t="str">
        <x:v>Synthetic Display 3</x:v>
      </x:c>
      <x:c r="E7" s="32" t="str">
        <x:v>11:14</x:v>
      </x:c>
      <x:c r="F7" s="32" t="str">
        <x:v>creator_case_003</x:v>
      </x:c>
      <x:c r="G7" s="32" t="str">
        <x:v>Lifestyle</x:v>
      </x:c>
      <x:c r="H7" s="32" t="str">
        <x:v>https://video.invalid/case/V0003</x:v>
      </x:c>
      <x:c r="I7" s="32" t="str">
        <x:v>เดรสออกงาน</x:v>
      </x:c>
      <x:c r="J7" s="32" t="str">
        <x:v>2026-07-20 18:00</x:v>
      </x:c>
      <x:c r="K7" s="32" t="n">
        <x:v>1074</x:v>
      </x:c>
      <x:c r="L7" s="32" t="n">
        <x:v>96</x:v>
      </x:c>
      <x:c r="M7" s="32" t="str">
        <x:v>Main comment</x:v>
      </x:c>
      <x:c r="N7" s="32" t="str">
        <x:v>Main comment</x:v>
      </x:c>
      <x:c r="O7" s="32" t="str">
        <x:v>ชอบแนวเสื้อที่ดูเป็นระเบียบและไม่ทำให้ลุคแข็งเกินไป ดีเทลคอเสื้อกับปลายแขนแบบในรูปช่วยเปลี่ยนเสื้อตัวเดิมให้ดูพิเศษขึ้นพอดี</x:v>
      </x:c>
      <x:c r="P7" s="32" t="str">
        <x:v>IMG002</x:v>
      </x:c>
      <x:c r="Q7" s="32" t="str">
        <x:v>White shirt with floral fashion-button details at the collar and cuff</x:v>
      </x:c>
      <x:c r="R7" s="32" t="str">
        <x:v>Synthetic context before</x:v>
      </x:c>
      <x:c r="S7" s="32" t="str">
        <x:v>Synthetic context after</x:v>
      </x:c>
      <x:c r="T7" s="32" t="str">
        <x:v>Posted</x:v>
      </x:c>
      <x:c r="U7" s="32" t="str">
        <x:f>IFERROR(VLOOKUP(B7&amp;"|24h",'COMMENT_RECHECK'!$V$5:$Y$204,2,FALSE),"Pending")</x:f>
        <x:v>Visible</x:v>
      </x:c>
      <x:c r="V7" s="32" t="n">
        <x:v>0</x:v>
      </x:c>
      <x:c r="W7" s="32" t="str"/>
      <x:c r="X7" s="32" t="n">
        <x:v>0</x:v>
      </x:c>
      <x:c r="Y7" s="32" t="str">
        <x:v>EVD-SYN-0003-POST</x:v>
      </x:c>
      <x:c r="Z7" s="32" t="str"/>
      <x:c r="AA7" s="32" t="str">
        <x:v>Core</x:v>
      </x:c>
      <x:c r="AB7" s="32" t="str">
        <x:v>N/A</x:v>
      </x:c>
      <x:c r="AC7" s="32" t="str">
        <x:v>Styled</x:v>
      </x:c>
      <x:c r="AD7" s="32" t="str">
        <x:v>TH</x:v>
      </x:c>
      <x:c r="AE7" s="32" t="str">
        <x:v>Yes</x:v>
      </x:c>
      <x:c r="AF7" s="32" t="str">
        <x:v>Standard</x:v>
      </x:c>
      <x:c r="AG7" s="32" t="str">
        <x:v>LIB-003</x:v>
      </x:c>
      <x:c r="AH7" s="32" t="str">
        <x:v>TH</x:v>
      </x:c>
      <x:c r="AI7" s="32" t="str">
        <x:v>Main</x:v>
      </x:c>
      <x:c r="AJ7" s="32" t="str">
        <x:v>None</x:v>
      </x:c>
      <x:c r="AK7" s="32" t="str">
        <x:v>inputs/product_images/IMG002.png</x:v>
      </x:c>
      <x:c r="AL7" s="32" t="str"/>
      <x:c r="AM7" s="32" t="str">
        <x:v>N/A</x:v>
      </x:c>
      <x:c r="AN7" s="32" t="str">
        <x:v>N/A</x:v>
      </x:c>
      <x:c r="AO7" s="32" t="str"/>
      <x:c r="AP7" s="32" t="str">
        <x:v>No</x:v>
      </x:c>
      <x:c r="AQ7" s="32" t="str">
        <x:v>Not Started</x:v>
      </x:c>
      <x:c r="AR7" s="32" t="str">
        <x:v>N/A</x:v>
      </x:c>
      <x:c r="AS7" s="32" t="str">
        <x:f>IFERROR(VLOOKUP(B7&amp;"|24h",'COMMENT_RECHECK'!$V$5:$Y$204,3,FALSE),"")</x:f>
        <x:v>None</x:v>
      </x:c>
      <x:c r="AT7" s="32" t="str">
        <x:v>[SANITIZED]</x:v>
      </x:c>
      <x:c r="AU7" s="32" t="str">
        <x:v>case_account_03</x:v>
      </x:c>
      <x:c r="AV7" s="32" t="str">
        <x:v>[SANITIZED]</x:v>
      </x:c>
      <x:c r="AW7" s="32" t="str">
        <x:v>[SANITIZED]</x:v>
      </x:c>
      <x:c r="AX7" s="32" t="str">
        <x:v>[SANITIZED]</x:v>
      </x:c>
      <x:c r="AY7" s="32" t="str">
        <x:v>Manual Simulation</x:v>
      </x:c>
      <x:c r="AZ7" s="32" t="str">
        <x:v>2026-07-20 11:14</x:v>
      </x:c>
      <x:c r="BA7" s="32" t="str">
        <x:v>2026-07-20 11:14</x:v>
      </x:c>
      <x:c r="BB7" s="32" t="str">
        <x:v>Yes</x:v>
      </x:c>
      <x:c r="BC7" s="32" t="str">
        <x:v>Yes</x:v>
      </x:c>
      <x:c r="BD7" s="32" t="str"/>
      <x:c r="BE7" s="32" t="str"/>
      <x:c r="BF7" s="32" t="str">
        <x:v>No</x:v>
      </x:c>
      <x:c r="BG7" s="32" t="str">
        <x:v>No</x:v>
      </x:c>
      <x:c r="BH7" s="32" t="n">
        <x:v>0</x:v>
      </x:c>
      <x:c r="BI7" s="32" t="str">
        <x:v>24h</x:v>
      </x:c>
      <x:c r="BJ7" s="32" t="str">
        <x:f>IFERROR(VLOOKUP(B7&amp;"|24h",'COMMENT_RECHECK'!$V$5:$Y$204,4,FALSE),"Pending")</x:f>
        <x:v>No Verified User Reply</x:v>
      </x:c>
      <x:c r="BK7" s="33" t="str">
        <x:f>IF(OR(COUNTIF($B$5:$B$104,B7)&gt;1,AND(T7="Posted",BC7&lt;&gt;"Yes"),AND(OR(BJ7="Verified User Reply",BJ7="Mixed Reply"),Y7="")),"Review","OK")</x:f>
        <x:v>OK</x:v>
      </x:c>
    </x:row>
    <x:row r="8">
      <x:c r="A8" s="49" t="n">
        <x:v>46224</x:v>
      </x:c>
      <x:c r="B8" s="32" t="str">
        <x:v>IC-0004</x:v>
      </x:c>
      <x:c r="C8" s="32" t="str">
        <x:v>Account Slot 4</x:v>
      </x:c>
      <x:c r="D8" s="32" t="str">
        <x:v>Synthetic Display 4</x:v>
      </x:c>
      <x:c r="E8" s="32" t="str">
        <x:v>12:21</x:v>
      </x:c>
      <x:c r="F8" s="32" t="str">
        <x:v>creator_case_004</x:v>
      </x:c>
      <x:c r="G8" s="32" t="str">
        <x:v>Tailoring</x:v>
      </x:c>
      <x:c r="H8" s="32" t="str">
        <x:v>https://video.invalid/case/V0004</x:v>
      </x:c>
      <x:c r="I8" s="32" t="str">
        <x:v>งานเย็บ DIY</x:v>
      </x:c>
      <x:c r="J8" s="32" t="str">
        <x:v>2026-07-20 18:00</x:v>
      </x:c>
      <x:c r="K8" s="32" t="n">
        <x:v>1111</x:v>
      </x:c>
      <x:c r="L8" s="32" t="n">
        <x:v>99</x:v>
      </x:c>
      <x:c r="M8" s="32" t="str">
        <x:v>Main comment</x:v>
      </x:c>
      <x:c r="N8" s="32" t="str">
        <x:v>Main comment</x:v>
      </x:c>
      <x:c r="O8" s="32" t="str">
        <x:v>คาดิแกนตัวนี้ดูแมตช์ง่ายและใช้ได้หลายมู้ดมาก ถ้าอยากเปลี่ยนฟีลเสื้อตัวเดิม ลองเติมตัวครอบกระดุมตรงคอหรือปลายแขนแบบในรูปดูค่ะ</x:v>
      </x:c>
      <x:c r="P8" s="32" t="str">
        <x:v>IMG002</x:v>
      </x:c>
      <x:c r="Q8" s="32" t="str">
        <x:v>White shirt with floral fashion-button details at the collar and cuff</x:v>
      </x:c>
      <x:c r="R8" s="32" t="str">
        <x:v>Synthetic context before</x:v>
      </x:c>
      <x:c r="S8" s="32" t="str">
        <x:v>Synthetic context after</x:v>
      </x:c>
      <x:c r="T8" s="32" t="str">
        <x:v>Posted</x:v>
      </x:c>
      <x:c r="U8" s="32" t="str">
        <x:f>IFERROR(VLOOKUP(B8&amp;"|24h",'COMMENT_RECHECK'!$V$5:$Y$204,2,FALSE),"Pending")</x:f>
        <x:v>Visible</x:v>
      </x:c>
      <x:c r="V8" s="32" t="n">
        <x:v>0</x:v>
      </x:c>
      <x:c r="W8" s="32" t="str"/>
      <x:c r="X8" s="32" t="n">
        <x:v>0</x:v>
      </x:c>
      <x:c r="Y8" s="32" t="str">
        <x:v>EVD-SYN-0004-POST</x:v>
      </x:c>
      <x:c r="Z8" s="32" t="str"/>
      <x:c r="AA8" s="32" t="str">
        <x:v>Core</x:v>
      </x:c>
      <x:c r="AB8" s="32" t="str">
        <x:v>N/A</x:v>
      </x:c>
      <x:c r="AC8" s="32" t="str">
        <x:v>Neutral</x:v>
      </x:c>
      <x:c r="AD8" s="32" t="str">
        <x:v>TH</x:v>
      </x:c>
      <x:c r="AE8" s="32" t="str">
        <x:v>Yes</x:v>
      </x:c>
      <x:c r="AF8" s="32" t="str">
        <x:v>Standard</x:v>
      </x:c>
      <x:c r="AG8" s="32" t="str">
        <x:v>LIB-004</x:v>
      </x:c>
      <x:c r="AH8" s="32" t="str">
        <x:v>TH</x:v>
      </x:c>
      <x:c r="AI8" s="32" t="str">
        <x:v>Main</x:v>
      </x:c>
      <x:c r="AJ8" s="32" t="str">
        <x:v>None</x:v>
      </x:c>
      <x:c r="AK8" s="32" t="str">
        <x:v>inputs/product_images/IMG002.png</x:v>
      </x:c>
      <x:c r="AL8" s="32" t="str"/>
      <x:c r="AM8" s="32" t="str">
        <x:v>N/A</x:v>
      </x:c>
      <x:c r="AN8" s="32" t="str">
        <x:v>N/A</x:v>
      </x:c>
      <x:c r="AO8" s="32" t="str"/>
      <x:c r="AP8" s="32" t="str">
        <x:v>No</x:v>
      </x:c>
      <x:c r="AQ8" s="32" t="str">
        <x:v>Not Started</x:v>
      </x:c>
      <x:c r="AR8" s="32" t="str">
        <x:v>N/A</x:v>
      </x:c>
      <x:c r="AS8" s="32" t="str">
        <x:f>IFERROR(VLOOKUP(B8&amp;"|24h",'COMMENT_RECHECK'!$V$5:$Y$204,3,FALSE),"")</x:f>
        <x:v>None</x:v>
      </x:c>
      <x:c r="AT8" s="32" t="str">
        <x:v>[SANITIZED]</x:v>
      </x:c>
      <x:c r="AU8" s="32" t="str">
        <x:v>case_account_04</x:v>
      </x:c>
      <x:c r="AV8" s="32" t="str">
        <x:v>[SANITIZED]</x:v>
      </x:c>
      <x:c r="AW8" s="32" t="str">
        <x:v>[SANITIZED]</x:v>
      </x:c>
      <x:c r="AX8" s="32" t="str">
        <x:v>[SANITIZED]</x:v>
      </x:c>
      <x:c r="AY8" s="32" t="str">
        <x:v>Manual Simulation</x:v>
      </x:c>
      <x:c r="AZ8" s="32" t="str">
        <x:v>2026-07-20 12:21</x:v>
      </x:c>
      <x:c r="BA8" s="32" t="str">
        <x:v>2026-07-20 12:21</x:v>
      </x:c>
      <x:c r="BB8" s="32" t="str">
        <x:v>Yes</x:v>
      </x:c>
      <x:c r="BC8" s="32" t="str">
        <x:v>Yes</x:v>
      </x:c>
      <x:c r="BD8" s="32" t="str"/>
      <x:c r="BE8" s="32" t="str"/>
      <x:c r="BF8" s="32" t="str">
        <x:v>No</x:v>
      </x:c>
      <x:c r="BG8" s="32" t="str">
        <x:v>No</x:v>
      </x:c>
      <x:c r="BH8" s="32" t="n">
        <x:v>0</x:v>
      </x:c>
      <x:c r="BI8" s="32" t="str">
        <x:v>24h</x:v>
      </x:c>
      <x:c r="BJ8" s="32" t="str">
        <x:f>IFERROR(VLOOKUP(B8&amp;"|24h",'COMMENT_RECHECK'!$V$5:$Y$204,4,FALSE),"Pending")</x:f>
        <x:v>No Verified User Reply</x:v>
      </x:c>
      <x:c r="BK8" s="33" t="str">
        <x:f>IF(OR(COUNTIF($B$5:$B$104,B8)&gt;1,AND(T8="Posted",BC8&lt;&gt;"Yes"),AND(OR(BJ8="Verified User Reply",BJ8="Mixed Reply"),Y8="")),"Review","OK")</x:f>
        <x:v>OK</x:v>
      </x:c>
    </x:row>
    <x:row r="9">
      <x:c r="A9" s="49" t="n">
        <x:v>46224</x:v>
      </x:c>
      <x:c r="B9" s="32" t="str">
        <x:v>IC-0005</x:v>
      </x:c>
      <x:c r="C9" s="32" t="str">
        <x:v>Account Slot 5</x:v>
      </x:c>
      <x:c r="D9" s="32" t="str">
        <x:v>Synthetic Display 5</x:v>
      </x:c>
      <x:c r="E9" s="32" t="str">
        <x:v>13:28</x:v>
      </x:c>
      <x:c r="F9" s="32" t="str">
        <x:v>creator_case_005</x:v>
      </x:c>
      <x:c r="G9" s="32" t="str">
        <x:v>Fashion</x:v>
      </x:c>
      <x:c r="H9" s="32" t="str">
        <x:v>https://video.invalid/case/V0005</x:v>
      </x:c>
      <x:c r="I9" s="32" t="str">
        <x:v>การซ่อมเสื้อ</x:v>
      </x:c>
      <x:c r="J9" s="32" t="str">
        <x:v>2026-07-20 18:00</x:v>
      </x:c>
      <x:c r="K9" s="32" t="n">
        <x:v>1148</x:v>
      </x:c>
      <x:c r="L9" s="32" t="n">
        <x:v>102</x:v>
      </x:c>
      <x:c r="M9" s="32" t="str">
        <x:v>Reply</x:v>
      </x:c>
      <x:c r="N9" s="32" t="str">
        <x:v>Synthetic parent</x:v>
      </x:c>
      <x:c r="O9" s="32" t="str">
        <x:v>เป็นไอเดียแต่งตัวประจำวันที่ดูดีแบบไม่ต้องคิดเยอะค่ะ พอมีตัวครอบกระดุมชิ้นเล็กแบบในรูป ช่วงคอกับข้อมือก็ดูตั้งใจขึ้นทันที</x:v>
      </x:c>
      <x:c r="P9" s="32" t="str">
        <x:v>IMG002</x:v>
      </x:c>
      <x:c r="Q9" s="32" t="str">
        <x:v>White shirt with floral fashion-button details at the collar and cuff</x:v>
      </x:c>
      <x:c r="R9" s="32" t="str">
        <x:v>Synthetic context before</x:v>
      </x:c>
      <x:c r="S9" s="32" t="str">
        <x:v>Synthetic context after</x:v>
      </x:c>
      <x:c r="T9" s="32" t="str">
        <x:v>Posted</x:v>
      </x:c>
      <x:c r="U9" s="32" t="str">
        <x:f>IFERROR(VLOOKUP(B9&amp;"|24h",'COMMENT_RECHECK'!$V$5:$Y$204,2,FALSE),"Pending")</x:f>
        <x:v>Visible</x:v>
      </x:c>
      <x:c r="V9" s="32" t="n">
        <x:v>0</x:v>
      </x:c>
      <x:c r="W9" s="32" t="str"/>
      <x:c r="X9" s="32" t="n">
        <x:v>0</x:v>
      </x:c>
      <x:c r="Y9" s="32" t="str">
        <x:v>EVD-SYN-0005-POST</x:v>
      </x:c>
      <x:c r="Z9" s="32" t="str"/>
      <x:c r="AA9" s="32" t="str">
        <x:v>Core</x:v>
      </x:c>
      <x:c r="AB9" s="32" t="str">
        <x:v>N/A</x:v>
      </x:c>
      <x:c r="AC9" s="32" t="str">
        <x:v>Styled</x:v>
      </x:c>
      <x:c r="AD9" s="32" t="str">
        <x:v>TH</x:v>
      </x:c>
      <x:c r="AE9" s="32" t="str">
        <x:v>Yes</x:v>
      </x:c>
      <x:c r="AF9" s="32" t="str">
        <x:v>Standard</x:v>
      </x:c>
      <x:c r="AG9" s="32" t="str">
        <x:v>LIB-005</x:v>
      </x:c>
      <x:c r="AH9" s="32" t="str">
        <x:v>TH</x:v>
      </x:c>
      <x:c r="AI9" s="32" t="str">
        <x:v>Reply</x:v>
      </x:c>
      <x:c r="AJ9" s="32" t="str">
        <x:v>None</x:v>
      </x:c>
      <x:c r="AK9" s="32" t="str">
        <x:v>inputs/product_images/IMG002.png</x:v>
      </x:c>
      <x:c r="AL9" s="32" t="str"/>
      <x:c r="AM9" s="32" t="str">
        <x:v>N/A</x:v>
      </x:c>
      <x:c r="AN9" s="32" t="str">
        <x:v>N/A</x:v>
      </x:c>
      <x:c r="AO9" s="32" t="str"/>
      <x:c r="AP9" s="32" t="str">
        <x:v>No</x:v>
      </x:c>
      <x:c r="AQ9" s="32" t="str">
        <x:v>Not Started</x:v>
      </x:c>
      <x:c r="AR9" s="32" t="str">
        <x:v>N/A</x:v>
      </x:c>
      <x:c r="AS9" s="32" t="str">
        <x:f>IFERROR(VLOOKUP(B9&amp;"|24h",'COMMENT_RECHECK'!$V$5:$Y$204,3,FALSE),"")</x:f>
        <x:v>None</x:v>
      </x:c>
      <x:c r="AT9" s="32" t="str">
        <x:v>[SANITIZED]</x:v>
      </x:c>
      <x:c r="AU9" s="32" t="str">
        <x:v>case_account_05</x:v>
      </x:c>
      <x:c r="AV9" s="32" t="str">
        <x:v>[SANITIZED]</x:v>
      </x:c>
      <x:c r="AW9" s="32" t="str">
        <x:v>[SANITIZED]</x:v>
      </x:c>
      <x:c r="AX9" s="32" t="str">
        <x:v>[SANITIZED]</x:v>
      </x:c>
      <x:c r="AY9" s="32" t="str">
        <x:v>Manual Simulation</x:v>
      </x:c>
      <x:c r="AZ9" s="32" t="str">
        <x:v>2026-07-20 13:28</x:v>
      </x:c>
      <x:c r="BA9" s="32" t="str">
        <x:v>2026-07-20 13:28</x:v>
      </x:c>
      <x:c r="BB9" s="32" t="str">
        <x:v>Yes</x:v>
      </x:c>
      <x:c r="BC9" s="32" t="str">
        <x:v>Yes</x:v>
      </x:c>
      <x:c r="BD9" s="32" t="str"/>
      <x:c r="BE9" s="32" t="str"/>
      <x:c r="BF9" s="32" t="str">
        <x:v>No</x:v>
      </x:c>
      <x:c r="BG9" s="32" t="str">
        <x:v>No</x:v>
      </x:c>
      <x:c r="BH9" s="32" t="n">
        <x:v>0</x:v>
      </x:c>
      <x:c r="BI9" s="32" t="str">
        <x:v>24h</x:v>
      </x:c>
      <x:c r="BJ9" s="32" t="str">
        <x:f>IFERROR(VLOOKUP(B9&amp;"|24h",'COMMENT_RECHECK'!$V$5:$Y$204,4,FALSE),"Pending")</x:f>
        <x:v>No Verified User Reply</x:v>
      </x:c>
      <x:c r="BK9" s="33" t="str">
        <x:f>IF(OR(COUNTIF($B$5:$B$104,B9)&gt;1,AND(T9="Posted",BC9&lt;&gt;"Yes"),AND(OR(BJ9="Verified User Reply",BJ9="Mixed Reply"),Y9="")),"Review","OK")</x:f>
        <x:v>OK</x:v>
      </x:c>
    </x:row>
    <x:row r="10">
      <x:c r="A10" s="49" t="n">
        <x:v>46224</x:v>
      </x:c>
      <x:c r="B10" s="32" t="str">
        <x:v>IC-0006</x:v>
      </x:c>
      <x:c r="C10" s="32" t="str">
        <x:v>Account Slot 6</x:v>
      </x:c>
      <x:c r="D10" s="32" t="str">
        <x:v>Synthetic Display 6</x:v>
      </x:c>
      <x:c r="E10" s="32" t="str">
        <x:v>14:35</x:v>
      </x:c>
      <x:c r="F10" s="32" t="str">
        <x:v>creator_case_006</x:v>
      </x:c>
      <x:c r="G10" s="32" t="str">
        <x:v>DIY</x:v>
      </x:c>
      <x:c r="H10" s="32" t="str">
        <x:v>https://video.invalid/case/V0006</x:v>
      </x:c>
      <x:c r="I10" s="32" t="str">
        <x:v>แฟชั่นวินเทจ</x:v>
      </x:c>
      <x:c r="J10" s="32" t="str">
        <x:v>2026-07-20 18:00</x:v>
      </x:c>
      <x:c r="K10" s="32" t="n">
        <x:v>1185</x:v>
      </x:c>
      <x:c r="L10" s="32" t="n">
        <x:v>105</x:v>
      </x:c>
      <x:c r="M10" s="32" t="str">
        <x:v>Main comment</x:v>
      </x:c>
      <x:c r="N10" s="32" t="str">
        <x:v>Main comment</x:v>
      </x:c>
      <x:c r="O10" s="32" t="str">
        <x:v>คาดิแกนตัวนี้ดูแมตช์ง่ายและใช้ได้หลายมู้ดมาก ถ้าเติมจุดเล็กตรงแนวกระดุมแบบในรูป เสื้อพื้นฐานน่าจะได้อีกมู้ดที่ดูตั้งใจขึ้น</x:v>
      </x:c>
      <x:c r="P10" s="32" t="str">
        <x:v>IMG002</x:v>
      </x:c>
      <x:c r="Q10" s="32" t="str">
        <x:v>White shirt with floral fashion-button details at the collar and cuff</x:v>
      </x:c>
      <x:c r="R10" s="32" t="str">
        <x:v>Synthetic context before</x:v>
      </x:c>
      <x:c r="S10" s="32" t="str">
        <x:v>Synthetic context after</x:v>
      </x:c>
      <x:c r="T10" s="32" t="str">
        <x:v>Posted</x:v>
      </x:c>
      <x:c r="U10" s="32" t="str">
        <x:f>IFERROR(VLOOKUP(B10&amp;"|24h",'COMMENT_RECHECK'!$V$5:$Y$204,2,FALSE),"Pending")</x:f>
        <x:v>Missing</x:v>
      </x:c>
      <x:c r="V10" s="32" t="n">
        <x:v>0</x:v>
      </x:c>
      <x:c r="W10" s="32" t="str"/>
      <x:c r="X10" s="32" t="n">
        <x:v>0</x:v>
      </x:c>
      <x:c r="Y10" s="32" t="str">
        <x:v>EVD-SYN-0006-POST</x:v>
      </x:c>
      <x:c r="Z10" s="32" t="str"/>
      <x:c r="AA10" s="32" t="str">
        <x:v>Core</x:v>
      </x:c>
      <x:c r="AB10" s="32" t="str">
        <x:v>N/A</x:v>
      </x:c>
      <x:c r="AC10" s="32" t="str">
        <x:v>Neutral</x:v>
      </x:c>
      <x:c r="AD10" s="32" t="str">
        <x:v>TH</x:v>
      </x:c>
      <x:c r="AE10" s="32" t="str">
        <x:v>Yes</x:v>
      </x:c>
      <x:c r="AF10" s="32" t="str">
        <x:v>Standard</x:v>
      </x:c>
      <x:c r="AG10" s="32" t="str">
        <x:v>LIB-006</x:v>
      </x:c>
      <x:c r="AH10" s="32" t="str">
        <x:v>TH</x:v>
      </x:c>
      <x:c r="AI10" s="32" t="str">
        <x:v>Main</x:v>
      </x:c>
      <x:c r="AJ10" s="32" t="str">
        <x:v>None</x:v>
      </x:c>
      <x:c r="AK10" s="32" t="str">
        <x:v>inputs/product_images/IMG002.png</x:v>
      </x:c>
      <x:c r="AL10" s="32" t="str"/>
      <x:c r="AM10" s="32" t="str">
        <x:v>N/A</x:v>
      </x:c>
      <x:c r="AN10" s="32" t="str">
        <x:v>N/A</x:v>
      </x:c>
      <x:c r="AO10" s="32" t="str"/>
      <x:c r="AP10" s="32" t="str">
        <x:v>No</x:v>
      </x:c>
      <x:c r="AQ10" s="32" t="str">
        <x:v>Not Started</x:v>
      </x:c>
      <x:c r="AR10" s="32" t="str">
        <x:v>N/A</x:v>
      </x:c>
      <x:c r="AS10" s="32" t="str">
        <x:f>IFERROR(VLOOKUP(B10&amp;"|24h",'COMMENT_RECHECK'!$V$5:$Y$204,3,FALSE),"")</x:f>
        <x:v>None</x:v>
      </x:c>
      <x:c r="AT10" s="32" t="str">
        <x:v>[SANITIZED]</x:v>
      </x:c>
      <x:c r="AU10" s="32" t="str">
        <x:v>case_account_06</x:v>
      </x:c>
      <x:c r="AV10" s="32" t="str">
        <x:v>[SANITIZED]</x:v>
      </x:c>
      <x:c r="AW10" s="32" t="str">
        <x:v>[SANITIZED]</x:v>
      </x:c>
      <x:c r="AX10" s="32" t="str">
        <x:v>[SANITIZED]</x:v>
      </x:c>
      <x:c r="AY10" s="32" t="str">
        <x:v>Manual Simulation</x:v>
      </x:c>
      <x:c r="AZ10" s="32" t="str">
        <x:v>2026-07-20 14:35</x:v>
      </x:c>
      <x:c r="BA10" s="32" t="str">
        <x:v>2026-07-20 14:35</x:v>
      </x:c>
      <x:c r="BB10" s="32" t="str">
        <x:v>Yes</x:v>
      </x:c>
      <x:c r="BC10" s="32" t="str">
        <x:v>Yes</x:v>
      </x:c>
      <x:c r="BD10" s="32" t="str"/>
      <x:c r="BE10" s="32" t="str"/>
      <x:c r="BF10" s="32" t="str">
        <x:v>No</x:v>
      </x:c>
      <x:c r="BG10" s="32" t="str">
        <x:v>No</x:v>
      </x:c>
      <x:c r="BH10" s="32" t="n">
        <x:v>0</x:v>
      </x:c>
      <x:c r="BI10" s="32" t="str">
        <x:v>24h</x:v>
      </x:c>
      <x:c r="BJ10" s="32" t="str">
        <x:f>IFERROR(VLOOKUP(B10&amp;"|24h",'COMMENT_RECHECK'!$V$5:$Y$204,4,FALSE),"Pending")</x:f>
        <x:v>No Verified User Reply</x:v>
      </x:c>
      <x:c r="BK10" s="33" t="str">
        <x:f>IF(OR(COUNTIF($B$5:$B$104,B10)&gt;1,AND(T10="Posted",BC10&lt;&gt;"Yes"),AND(OR(BJ10="Verified User Reply",BJ10="Mixed Reply"),Y10="")),"Review","OK")</x:f>
        <x:v>OK</x:v>
      </x:c>
    </x:row>
    <x:row r="11">
      <x:c r="A11" s="49" t="n">
        <x:v>46224</x:v>
      </x:c>
      <x:c r="B11" s="32" t="str">
        <x:v>IC-0007</x:v>
      </x:c>
      <x:c r="C11" s="32" t="str">
        <x:v>Account Slot 7</x:v>
      </x:c>
      <x:c r="D11" s="32" t="str">
        <x:v>Synthetic Display 7</x:v>
      </x:c>
      <x:c r="E11" s="32" t="str">
        <x:v>15:42</x:v>
      </x:c>
      <x:c r="F11" s="32" t="str">
        <x:v>creator_case_007</x:v>
      </x:c>
      <x:c r="G11" s="32" t="str">
        <x:v>Lifestyle</x:v>
      </x:c>
      <x:c r="H11" s="32" t="str">
        <x:v>https://video.invalid/case/V0007</x:v>
      </x:c>
      <x:c r="I11" s="32" t="str">
        <x:v>เสื้อเด็ก</x:v>
      </x:c>
      <x:c r="J11" s="32" t="str">
        <x:v>2026-07-20 18:00</x:v>
      </x:c>
      <x:c r="K11" s="32" t="n">
        <x:v>1222</x:v>
      </x:c>
      <x:c r="L11" s="32" t="n">
        <x:v>108</x:v>
      </x:c>
      <x:c r="M11" s="32" t="str">
        <x:v>Main comment</x:v>
      </x:c>
      <x:c r="N11" s="32" t="str">
        <x:v>Main comment</x:v>
      </x:c>
      <x:c r="O11" s="32" t="str">
        <x:v>เป็นไอเดียแต่งตัวประจำวันที่ดูดีแบบไม่ต้องคิดเยอะค่ะ ความวิบวับแบบเบา ๆ ในรูปทำให้เสื้อพื้นฐานดูมีคาแรกเตอร์โดยไม่ต้องใส่สร้อยเพิ่ม</x:v>
      </x:c>
      <x:c r="P11" s="32" t="str">
        <x:v>IMG002</x:v>
      </x:c>
      <x:c r="Q11" s="32" t="str">
        <x:v>White shirt with floral fashion-button details at the collar and cuff</x:v>
      </x:c>
      <x:c r="R11" s="32" t="str">
        <x:v>Synthetic context before</x:v>
      </x:c>
      <x:c r="S11" s="32" t="str">
        <x:v>Synthetic context after</x:v>
      </x:c>
      <x:c r="T11" s="32" t="str">
        <x:v>Posted</x:v>
      </x:c>
      <x:c r="U11" s="32" t="str">
        <x:f>IFERROR(VLOOKUP(B11&amp;"|24h",'COMMENT_RECHECK'!$V$5:$Y$204,2,FALSE),"Pending")</x:f>
        <x:v>Visible</x:v>
      </x:c>
      <x:c r="V11" s="32" t="n">
        <x:v>0</x:v>
      </x:c>
      <x:c r="W11" s="32" t="str"/>
      <x:c r="X11" s="32" t="n">
        <x:v>0</x:v>
      </x:c>
      <x:c r="Y11" s="32" t="str">
        <x:v>EVD-SYN-0007-POST</x:v>
      </x:c>
      <x:c r="Z11" s="32" t="str"/>
      <x:c r="AA11" s="32" t="str">
        <x:v>Core</x:v>
      </x:c>
      <x:c r="AB11" s="32" t="str">
        <x:v>N/A</x:v>
      </x:c>
      <x:c r="AC11" s="32" t="str">
        <x:v>Styled</x:v>
      </x:c>
      <x:c r="AD11" s="32" t="str">
        <x:v>TH</x:v>
      </x:c>
      <x:c r="AE11" s="32" t="str">
        <x:v>Yes</x:v>
      </x:c>
      <x:c r="AF11" s="32" t="str">
        <x:v>Standard</x:v>
      </x:c>
      <x:c r="AG11" s="32" t="str">
        <x:v>LIB-007</x:v>
      </x:c>
      <x:c r="AH11" s="32" t="str">
        <x:v>TH</x:v>
      </x:c>
      <x:c r="AI11" s="32" t="str">
        <x:v>Main</x:v>
      </x:c>
      <x:c r="AJ11" s="32" t="str">
        <x:v>Reference</x:v>
      </x:c>
      <x:c r="AK11" s="32" t="str">
        <x:v>inputs/product_images/IMG002.png</x:v>
      </x:c>
      <x:c r="AL11" s="32" t="str"/>
      <x:c r="AM11" s="32" t="str">
        <x:v>Yes</x:v>
      </x:c>
      <x:c r="AN11" s="32" t="str">
        <x:v>Complete</x:v>
      </x:c>
      <x:c r="AO11" s="32" t="str"/>
      <x:c r="AP11" s="32" t="str">
        <x:v>No</x:v>
      </x:c>
      <x:c r="AQ11" s="32" t="str">
        <x:v>Not Started</x:v>
      </x:c>
      <x:c r="AR11" s="32" t="str">
        <x:v>Fit</x:v>
      </x:c>
      <x:c r="AS11" s="32" t="str">
        <x:f>IFERROR(VLOOKUP(B11&amp;"|24h",'COMMENT_RECHECK'!$V$5:$Y$204,3,FALSE),"")</x:f>
        <x:v>None</x:v>
      </x:c>
      <x:c r="AT11" s="32" t="str">
        <x:v>[SANITIZED]</x:v>
      </x:c>
      <x:c r="AU11" s="32" t="str">
        <x:v>case_account_07</x:v>
      </x:c>
      <x:c r="AV11" s="32" t="str">
        <x:v>[SANITIZED]</x:v>
      </x:c>
      <x:c r="AW11" s="32" t="str">
        <x:v>[SANITIZED]</x:v>
      </x:c>
      <x:c r="AX11" s="32" t="str">
        <x:v>[SANITIZED]</x:v>
      </x:c>
      <x:c r="AY11" s="32" t="str">
        <x:v>Manual Simulation</x:v>
      </x:c>
      <x:c r="AZ11" s="32" t="str">
        <x:v>2026-07-20 15:42</x:v>
      </x:c>
      <x:c r="BA11" s="32" t="str">
        <x:v>2026-07-20 15:42</x:v>
      </x:c>
      <x:c r="BB11" s="32" t="str">
        <x:v>Yes</x:v>
      </x:c>
      <x:c r="BC11" s="32" t="str">
        <x:v>Yes</x:v>
      </x:c>
      <x:c r="BD11" s="32" t="str"/>
      <x:c r="BE11" s="32" t="str"/>
      <x:c r="BF11" s="32" t="str">
        <x:v>No</x:v>
      </x:c>
      <x:c r="BG11" s="32" t="str">
        <x:v>No</x:v>
      </x:c>
      <x:c r="BH11" s="32" t="n">
        <x:v>0</x:v>
      </x:c>
      <x:c r="BI11" s="32" t="str">
        <x:v>24h</x:v>
      </x:c>
      <x:c r="BJ11" s="32" t="str">
        <x:f>IFERROR(VLOOKUP(B11&amp;"|24h",'COMMENT_RECHECK'!$V$5:$Y$204,4,FALSE),"Pending")</x:f>
        <x:v>No Verified User Reply</x:v>
      </x:c>
      <x:c r="BK11" s="33" t="str">
        <x:f>IF(OR(COUNTIF($B$5:$B$104,B11)&gt;1,AND(T11="Posted",BC11&lt;&gt;"Yes"),AND(OR(BJ11="Verified User Reply",BJ11="Mixed Reply"),Y11="")),"Review","OK")</x:f>
        <x:v>OK</x:v>
      </x:c>
    </x:row>
    <x:row r="12">
      <x:c r="A12" s="49" t="n">
        <x:v>46224</x:v>
      </x:c>
      <x:c r="B12" s="32" t="str">
        <x:v>IC-0008</x:v>
      </x:c>
      <x:c r="C12" s="32" t="str">
        <x:v>Account Slot 8</x:v>
      </x:c>
      <x:c r="D12" s="32" t="str">
        <x:v>Synthetic Display 8</x:v>
      </x:c>
      <x:c r="E12" s="32" t="str">
        <x:v>16:49</x:v>
      </x:c>
      <x:c r="F12" s="32" t="str">
        <x:v>creator_case_008</x:v>
      </x:c>
      <x:c r="G12" s="32" t="str">
        <x:v>Tailoring</x:v>
      </x:c>
      <x:c r="H12" s="32" t="str">
        <x:v>https://video.invalid/case/V0008</x:v>
      </x:c>
      <x:c r="I12" s="32" t="str">
        <x:v>เสื้อคลุม</x:v>
      </x:c>
      <x:c r="J12" s="32" t="str">
        <x:v>2026-07-20 18:00</x:v>
      </x:c>
      <x:c r="K12" s="32" t="n">
        <x:v>1259</x:v>
      </x:c>
      <x:c r="L12" s="32" t="n">
        <x:v>111</x:v>
      </x:c>
      <x:c r="M12" s="32" t="str">
        <x:v>Main comment</x:v>
      </x:c>
      <x:c r="N12" s="32" t="str">
        <x:v>Main comment</x:v>
      </x:c>
      <x:c r="O12" s="32" t="str">
        <x:v>เบลเซอร์ลุคนี้ดูโปรและคุมโทนได้ดีมากค่ะ blazer ทรงนี้ถ้ามีจุดเด่นเล็กแบบในรูป น่าจะดูตั้งใจและจำง่ายขึ้นมากค่ะ</x:v>
      </x:c>
      <x:c r="P12" s="32" t="str">
        <x:v>IMG004</x:v>
      </x:c>
      <x:c r="Q12" s="32" t="str">
        <x:v>Polished black blazer look with pearl and monochrome fashion-button details</x:v>
      </x:c>
      <x:c r="R12" s="32" t="str">
        <x:v>Synthetic context before</x:v>
      </x:c>
      <x:c r="S12" s="32" t="str">
        <x:v>Synthetic context after</x:v>
      </x:c>
      <x:c r="T12" s="32" t="str">
        <x:v>Posted</x:v>
      </x:c>
      <x:c r="U12" s="32" t="str">
        <x:f>IFERROR(VLOOKUP(B12&amp;"|24h",'COMMENT_RECHECK'!$V$5:$Y$204,2,FALSE),"Pending")</x:f>
        <x:v>Visible</x:v>
      </x:c>
      <x:c r="V12" s="32" t="n">
        <x:v>1</x:v>
      </x:c>
      <x:c r="W12" s="32" t="str">
        <x:v>Synthetic reply preview</x:v>
      </x:c>
      <x:c r="X12" s="32" t="n">
        <x:v>0</x:v>
      </x:c>
      <x:c r="Y12" s="32" t="str">
        <x:v>EVD-SYN-0008-POST</x:v>
      </x:c>
      <x:c r="Z12" s="32" t="str"/>
      <x:c r="AA12" s="32" t="str">
        <x:v>Core</x:v>
      </x:c>
      <x:c r="AB12" s="32" t="str">
        <x:v>N/A</x:v>
      </x:c>
      <x:c r="AC12" s="32" t="str">
        <x:v>Neutral</x:v>
      </x:c>
      <x:c r="AD12" s="32" t="str">
        <x:v>TH</x:v>
      </x:c>
      <x:c r="AE12" s="32" t="str">
        <x:v>Yes</x:v>
      </x:c>
      <x:c r="AF12" s="32" t="str">
        <x:v>Standard</x:v>
      </x:c>
      <x:c r="AG12" s="32" t="str">
        <x:v>LIB-008</x:v>
      </x:c>
      <x:c r="AH12" s="32" t="str">
        <x:v>TH</x:v>
      </x:c>
      <x:c r="AI12" s="32" t="str">
        <x:v>Main</x:v>
      </x:c>
      <x:c r="AJ12" s="32" t="str">
        <x:v>None</x:v>
      </x:c>
      <x:c r="AK12" s="32" t="str">
        <x:v>inputs/product_images/IMG004.png</x:v>
      </x:c>
      <x:c r="AL12" s="32" t="str"/>
      <x:c r="AM12" s="32" t="str">
        <x:v>N/A</x:v>
      </x:c>
      <x:c r="AN12" s="32" t="str">
        <x:v>N/A</x:v>
      </x:c>
      <x:c r="AO12" s="32" t="str"/>
      <x:c r="AP12" s="32" t="str">
        <x:v>Potential</x:v>
      </x:c>
      <x:c r="AQ12" s="32" t="str">
        <x:v>Not Started</x:v>
      </x:c>
      <x:c r="AR12" s="32" t="str">
        <x:v>N/A</x:v>
      </x:c>
      <x:c r="AS12" s="32" t="str">
        <x:f>IFERROR(VLOOKUP(B12&amp;"|24h",'COMMENT_RECHECK'!$V$5:$Y$204,3,FALSE),"")</x:f>
        <x:v>User</x:v>
      </x:c>
      <x:c r="AT12" s="32" t="str">
        <x:v>[SANITIZED]</x:v>
      </x:c>
      <x:c r="AU12" s="32" t="str">
        <x:v>case_account_08</x:v>
      </x:c>
      <x:c r="AV12" s="32" t="str">
        <x:v>[SANITIZED]</x:v>
      </x:c>
      <x:c r="AW12" s="32" t="str">
        <x:v>[SANITIZED]</x:v>
      </x:c>
      <x:c r="AX12" s="32" t="str">
        <x:v>[SANITIZED]</x:v>
      </x:c>
      <x:c r="AY12" s="32" t="str">
        <x:v>Manual Simulation</x:v>
      </x:c>
      <x:c r="AZ12" s="32" t="str">
        <x:v>2026-07-20 16:49</x:v>
      </x:c>
      <x:c r="BA12" s="32" t="str">
        <x:v>2026-07-20 16:49</x:v>
      </x:c>
      <x:c r="BB12" s="32" t="str">
        <x:v>Yes</x:v>
      </x:c>
      <x:c r="BC12" s="32" t="str">
        <x:v>Yes</x:v>
      </x:c>
      <x:c r="BD12" s="32" t="str"/>
      <x:c r="BE12" s="32" t="str"/>
      <x:c r="BF12" s="32" t="str">
        <x:v>No</x:v>
      </x:c>
      <x:c r="BG12" s="32" t="str">
        <x:v>No</x:v>
      </x:c>
      <x:c r="BH12" s="32" t="n">
        <x:v>0</x:v>
      </x:c>
      <x:c r="BI12" s="32" t="str">
        <x:v>24h</x:v>
      </x:c>
      <x:c r="BJ12" s="32" t="str">
        <x:f>IFERROR(VLOOKUP(B12&amp;"|24h",'COMMENT_RECHECK'!$V$5:$Y$204,4,FALSE),"Pending")</x:f>
        <x:v>Verified User Reply</x:v>
      </x:c>
      <x:c r="BK12" s="33" t="str">
        <x:f>IF(OR(COUNTIF($B$5:$B$104,B12)&gt;1,AND(T12="Posted",BC12&lt;&gt;"Yes"),AND(OR(BJ12="Verified User Reply",BJ12="Mixed Reply"),Y12="")),"Review","OK")</x:f>
        <x:v>OK</x:v>
      </x:c>
    </x:row>
    <x:row r="13">
      <x:c r="A13" s="49" t="n">
        <x:v>46224</x:v>
      </x:c>
      <x:c r="B13" s="32" t="str">
        <x:v>IC-0009</x:v>
      </x:c>
      <x:c r="C13" s="32" t="str">
        <x:v>Account Slot 9</x:v>
      </x:c>
      <x:c r="D13" s="32" t="str">
        <x:v>Synthetic Display 9</x:v>
      </x:c>
      <x:c r="E13" s="32" t="str">
        <x:v>17:56</x:v>
      </x:c>
      <x:c r="F13" s="32" t="str">
        <x:v>creator_case_009</x:v>
      </x:c>
      <x:c r="G13" s="32" t="str">
        <x:v>Fashion</x:v>
      </x:c>
      <x:c r="H13" s="32" t="str">
        <x:v>https://video.invalid/case/V0009</x:v>
      </x:c>
      <x:c r="I13" s="32" t="str">
        <x:v>การจับคู่สี</x:v>
      </x:c>
      <x:c r="J13" s="32" t="str">
        <x:v>2026-07-20 18:00</x:v>
      </x:c>
      <x:c r="K13" s="32" t="n">
        <x:v>1296</x:v>
      </x:c>
      <x:c r="L13" s="32" t="n">
        <x:v>114</x:v>
      </x:c>
      <x:c r="M13" s="32" t="str">
        <x:v>Reply</x:v>
      </x:c>
      <x:c r="N13" s="32" t="str">
        <x:v>Synthetic parent</x:v>
      </x:c>
      <x:c r="O13" s="32" t="str">
        <x:v>สูทลุคนี้เนี้ยบแต่ไม่ดูแข็งจนเกินไปค่ะ ดีเทลคอเสื้อกับปลายแขนแบบในรูปช่วยเปลี่ยนเสื้อตัวเดิมให้ดูพิเศษขึ้นพอดี</x:v>
      </x:c>
      <x:c r="P13" s="32" t="str">
        <x:v>IMG002</x:v>
      </x:c>
      <x:c r="Q13" s="32" t="str">
        <x:v>White shirt with floral fashion-button details at the collar and cuff</x:v>
      </x:c>
      <x:c r="R13" s="32" t="str">
        <x:v>Synthetic context before</x:v>
      </x:c>
      <x:c r="S13" s="32" t="str">
        <x:v>Synthetic context after</x:v>
      </x:c>
      <x:c r="T13" s="32" t="str">
        <x:v>Posted</x:v>
      </x:c>
      <x:c r="U13" s="32" t="str">
        <x:f>IFERROR(VLOOKUP(B13&amp;"|24h",'COMMENT_RECHECK'!$V$5:$Y$204,2,FALSE),"Pending")</x:f>
        <x:v>Visible</x:v>
      </x:c>
      <x:c r="V13" s="32" t="n">
        <x:v>0</x:v>
      </x:c>
      <x:c r="W13" s="32" t="str"/>
      <x:c r="X13" s="32" t="n">
        <x:v>0</x:v>
      </x:c>
      <x:c r="Y13" s="32" t="str">
        <x:v>EVD-SYN-0009-POST</x:v>
      </x:c>
      <x:c r="Z13" s="32" t="str"/>
      <x:c r="AA13" s="32" t="str">
        <x:v>Core</x:v>
      </x:c>
      <x:c r="AB13" s="32" t="str">
        <x:v>N/A</x:v>
      </x:c>
      <x:c r="AC13" s="32" t="str">
        <x:v>Styled</x:v>
      </x:c>
      <x:c r="AD13" s="32" t="str">
        <x:v>TH</x:v>
      </x:c>
      <x:c r="AE13" s="32" t="str">
        <x:v>Yes</x:v>
      </x:c>
      <x:c r="AF13" s="32" t="str">
        <x:v>Standard</x:v>
      </x:c>
      <x:c r="AG13" s="32" t="str">
        <x:v>LIB-009</x:v>
      </x:c>
      <x:c r="AH13" s="32" t="str">
        <x:v>TH</x:v>
      </x:c>
      <x:c r="AI13" s="32" t="str">
        <x:v>Reply</x:v>
      </x:c>
      <x:c r="AJ13" s="32" t="str">
        <x:v>None</x:v>
      </x:c>
      <x:c r="AK13" s="32" t="str">
        <x:v>inputs/product_images/IMG002.png</x:v>
      </x:c>
      <x:c r="AL13" s="32" t="str"/>
      <x:c r="AM13" s="32" t="str">
        <x:v>N/A</x:v>
      </x:c>
      <x:c r="AN13" s="32" t="str">
        <x:v>N/A</x:v>
      </x:c>
      <x:c r="AO13" s="32" t="str"/>
      <x:c r="AP13" s="32" t="str">
        <x:v>No</x:v>
      </x:c>
      <x:c r="AQ13" s="32" t="str">
        <x:v>Not Started</x:v>
      </x:c>
      <x:c r="AR13" s="32" t="str">
        <x:v>N/A</x:v>
      </x:c>
      <x:c r="AS13" s="32" t="str">
        <x:f>IFERROR(VLOOKUP(B13&amp;"|24h",'COMMENT_RECHECK'!$V$5:$Y$204,3,FALSE),"")</x:f>
        <x:v>None</x:v>
      </x:c>
      <x:c r="AT13" s="32" t="str">
        <x:v>[SANITIZED]</x:v>
      </x:c>
      <x:c r="AU13" s="32" t="str">
        <x:v>case_account_09</x:v>
      </x:c>
      <x:c r="AV13" s="32" t="str">
        <x:v>[SANITIZED]</x:v>
      </x:c>
      <x:c r="AW13" s="32" t="str">
        <x:v>[SANITIZED]</x:v>
      </x:c>
      <x:c r="AX13" s="32" t="str">
        <x:v>[SANITIZED]</x:v>
      </x:c>
      <x:c r="AY13" s="32" t="str">
        <x:v>Manual Simulation</x:v>
      </x:c>
      <x:c r="AZ13" s="32" t="str">
        <x:v>2026-07-20 17:56</x:v>
      </x:c>
      <x:c r="BA13" s="32" t="str">
        <x:v>2026-07-20 17:56</x:v>
      </x:c>
      <x:c r="BB13" s="32" t="str">
        <x:v>Yes</x:v>
      </x:c>
      <x:c r="BC13" s="32" t="str">
        <x:v>Yes</x:v>
      </x:c>
      <x:c r="BD13" s="32" t="str"/>
      <x:c r="BE13" s="32" t="str"/>
      <x:c r="BF13" s="32" t="str">
        <x:v>No</x:v>
      </x:c>
      <x:c r="BG13" s="32" t="str">
        <x:v>No</x:v>
      </x:c>
      <x:c r="BH13" s="32" t="n">
        <x:v>0</x:v>
      </x:c>
      <x:c r="BI13" s="32" t="str">
        <x:v>24h</x:v>
      </x:c>
      <x:c r="BJ13" s="32" t="str">
        <x:f>IFERROR(VLOOKUP(B13&amp;"|24h",'COMMENT_RECHECK'!$V$5:$Y$204,4,FALSE),"Pending")</x:f>
        <x:v>No Verified User Reply</x:v>
      </x:c>
      <x:c r="BK13" s="33" t="str">
        <x:f>IF(OR(COUNTIF($B$5:$B$104,B13)&gt;1,AND(T13="Posted",BC13&lt;&gt;"Yes"),AND(OR(BJ13="Verified User Reply",BJ13="Mixed Reply"),Y13="")),"Review","OK")</x:f>
        <x:v>OK</x:v>
      </x:c>
    </x:row>
    <x:row r="14">
      <x:c r="A14" s="49" t="n">
        <x:v>46224</x:v>
      </x:c>
      <x:c r="B14" s="32" t="str">
        <x:v>IC-0010</x:v>
      </x:c>
      <x:c r="C14" s="32" t="str">
        <x:v>Account Slot 10</x:v>
      </x:c>
      <x:c r="D14" s="32" t="str">
        <x:v>Synthetic Display 10</x:v>
      </x:c>
      <x:c r="E14" s="32" t="str">
        <x:v>18:03</x:v>
      </x:c>
      <x:c r="F14" s="32" t="str">
        <x:v>creator_case_010</x:v>
      </x:c>
      <x:c r="G14" s="32" t="str">
        <x:v>DIY</x:v>
      </x:c>
      <x:c r="H14" s="32" t="str">
        <x:v>https://video.invalid/case/V0010</x:v>
      </x:c>
      <x:c r="I14" s="32" t="str">
        <x:v>รีวิวงานฝีมือ</x:v>
      </x:c>
      <x:c r="J14" s="32" t="str">
        <x:v>2026-07-20 18:00</x:v>
      </x:c>
      <x:c r="K14" s="32" t="n">
        <x:v>1333</x:v>
      </x:c>
      <x:c r="L14" s="32" t="n">
        <x:v>117</x:v>
      </x:c>
      <x:c r="M14" s="32" t="str">
        <x:v>Main comment</x:v>
      </x:c>
      <x:c r="N14" s="32" t="str">
        <x:v>Main comment</x:v>
      </x:c>
      <x:c r="O14" s="32" t="str">
        <x:v>ชุดนี้แต่งตามง่ายและเหมาะกับหลายโอกาสจริงค่ะ ลองใช้ลูกเล่นขาวดำแบบในรูปกับชุดนี้ดูค่ะ ยังสุภาพแต่ภาพรวมดูมีคาแรกเตอร์ขึ้น</x:v>
      </x:c>
      <x:c r="P14" s="32" t="str">
        <x:v>IMG004</x:v>
      </x:c>
      <x:c r="Q14" s="32" t="str">
        <x:v>Polished black blazer look with pearl and monochrome fashion-button details</x:v>
      </x:c>
      <x:c r="R14" s="32" t="str">
        <x:v>Synthetic context before</x:v>
      </x:c>
      <x:c r="S14" s="32" t="str">
        <x:v>Synthetic context after</x:v>
      </x:c>
      <x:c r="T14" s="32" t="str">
        <x:v>Posted</x:v>
      </x:c>
      <x:c r="U14" s="32" t="str">
        <x:f>IFERROR(VLOOKUP(B14&amp;"|24h",'COMMENT_RECHECK'!$V$5:$Y$204,2,FALSE),"Pending")</x:f>
        <x:v>Visible</x:v>
      </x:c>
      <x:c r="V14" s="32" t="n">
        <x:v>0</x:v>
      </x:c>
      <x:c r="W14" s="32" t="str"/>
      <x:c r="X14" s="32" t="n">
        <x:v>0</x:v>
      </x:c>
      <x:c r="Y14" s="32" t="str">
        <x:v>EVD-SYN-0010-POST</x:v>
      </x:c>
      <x:c r="Z14" s="32" t="str"/>
      <x:c r="AA14" s="32" t="str">
        <x:v>Core</x:v>
      </x:c>
      <x:c r="AB14" s="32" t="str">
        <x:v>N/A</x:v>
      </x:c>
      <x:c r="AC14" s="32" t="str">
        <x:v>Neutral</x:v>
      </x:c>
      <x:c r="AD14" s="32" t="str">
        <x:v>TH</x:v>
      </x:c>
      <x:c r="AE14" s="32" t="str">
        <x:v>Yes</x:v>
      </x:c>
      <x:c r="AF14" s="32" t="str">
        <x:v>Standard</x:v>
      </x:c>
      <x:c r="AG14" s="32" t="str">
        <x:v>LIB-010</x:v>
      </x:c>
      <x:c r="AH14" s="32" t="str">
        <x:v>TH</x:v>
      </x:c>
      <x:c r="AI14" s="32" t="str">
        <x:v>Main</x:v>
      </x:c>
      <x:c r="AJ14" s="32" t="str">
        <x:v>None</x:v>
      </x:c>
      <x:c r="AK14" s="32" t="str">
        <x:v>inputs/product_images/IMG004.png</x:v>
      </x:c>
      <x:c r="AL14" s="32" t="str"/>
      <x:c r="AM14" s="32" t="str">
        <x:v>N/A</x:v>
      </x:c>
      <x:c r="AN14" s="32" t="str">
        <x:v>N/A</x:v>
      </x:c>
      <x:c r="AO14" s="32" t="str"/>
      <x:c r="AP14" s="32" t="str">
        <x:v>No</x:v>
      </x:c>
      <x:c r="AQ14" s="32" t="str">
        <x:v>Not Started</x:v>
      </x:c>
      <x:c r="AR14" s="32" t="str">
        <x:v>N/A</x:v>
      </x:c>
      <x:c r="AS14" s="32" t="str">
        <x:f>IFERROR(VLOOKUP(B14&amp;"|24h",'COMMENT_RECHECK'!$V$5:$Y$204,3,FALSE),"")</x:f>
        <x:v>None</x:v>
      </x:c>
      <x:c r="AT14" s="32" t="str">
        <x:v>[SANITIZED]</x:v>
      </x:c>
      <x:c r="AU14" s="32" t="str">
        <x:v>case_account_10</x:v>
      </x:c>
      <x:c r="AV14" s="32" t="str">
        <x:v>[SANITIZED]</x:v>
      </x:c>
      <x:c r="AW14" s="32" t="str">
        <x:v>[SANITIZED]</x:v>
      </x:c>
      <x:c r="AX14" s="32" t="str">
        <x:v>[SANITIZED]</x:v>
      </x:c>
      <x:c r="AY14" s="32" t="str">
        <x:v>Manual Simulation</x:v>
      </x:c>
      <x:c r="AZ14" s="32" t="str">
        <x:v>2026-07-20 18:03</x:v>
      </x:c>
      <x:c r="BA14" s="32" t="str">
        <x:v>2026-07-20 18:03</x:v>
      </x:c>
      <x:c r="BB14" s="32" t="str">
        <x:v>Yes</x:v>
      </x:c>
      <x:c r="BC14" s="32" t="str">
        <x:v>Yes</x:v>
      </x:c>
      <x:c r="BD14" s="32" t="str"/>
      <x:c r="BE14" s="32" t="str"/>
      <x:c r="BF14" s="32" t="str">
        <x:v>No</x:v>
      </x:c>
      <x:c r="BG14" s="32" t="str">
        <x:v>No</x:v>
      </x:c>
      <x:c r="BH14" s="32" t="n">
        <x:v>0</x:v>
      </x:c>
      <x:c r="BI14" s="32" t="str">
        <x:v>24h</x:v>
      </x:c>
      <x:c r="BJ14" s="32" t="str">
        <x:f>IFERROR(VLOOKUP(B14&amp;"|24h",'COMMENT_RECHECK'!$V$5:$Y$204,4,FALSE),"Pending")</x:f>
        <x:v>No Verified User Reply</x:v>
      </x:c>
      <x:c r="BK14" s="33" t="str">
        <x:f>IF(OR(COUNTIF($B$5:$B$104,B14)&gt;1,AND(T14="Posted",BC14&lt;&gt;"Yes"),AND(OR(BJ14="Verified User Reply",BJ14="Mixed Reply"),Y14="")),"Review","OK")</x:f>
        <x:v>OK</x:v>
      </x:c>
    </x:row>
    <x:row r="15">
      <x:c r="A15" s="49" t="n">
        <x:v>46224</x:v>
      </x:c>
      <x:c r="B15" s="32" t="str">
        <x:v>IC-0011</x:v>
      </x:c>
      <x:c r="C15" s="32" t="str">
        <x:v>Account Slot 1</x:v>
      </x:c>
      <x:c r="D15" s="32" t="str">
        <x:v>Synthetic Display 1</x:v>
      </x:c>
      <x:c r="E15" s="32" t="str">
        <x:v>09:10</x:v>
      </x:c>
      <x:c r="F15" s="32" t="str">
        <x:v>creator_case_011</x:v>
      </x:c>
      <x:c r="G15" s="32" t="str">
        <x:v>Lifestyle</x:v>
      </x:c>
      <x:c r="H15" s="32" t="str">
        <x:v>https://video.invalid/case/V0011</x:v>
      </x:c>
      <x:c r="I15" s="32" t="str">
        <x:v>เสื้อเชิ้ตทำงาน</x:v>
      </x:c>
      <x:c r="J15" s="32" t="str">
        <x:v>2026-07-20 18:00</x:v>
      </x:c>
      <x:c r="K15" s="32" t="n">
        <x:v>1370</x:v>
      </x:c>
      <x:c r="L15" s="32" t="n">
        <x:v>120</x:v>
      </x:c>
      <x:c r="M15" s="32" t="str">
        <x:v>Main comment</x:v>
      </x:c>
      <x:c r="N15" s="32" t="str">
        <x:v>Main comment</x:v>
      </x:c>
      <x:c r="O15" s="32" t="str">
        <x:v>เสื้อคอปกตัวนี้ดูคลาสสิกและแมตช์เครื่องประดับง่ายมาก ดีเทลคอเสื้อกับปลายแขนแบบในรูปช่วยเปลี่ยนเสื้อตัวเดิมให้ดูพิเศษขึ้นพอดี</x:v>
      </x:c>
      <x:c r="P15" s="32" t="str">
        <x:v>IMG002</x:v>
      </x:c>
      <x:c r="Q15" s="32" t="str">
        <x:v>White shirt with floral fashion-button details at the collar and cuff</x:v>
      </x:c>
      <x:c r="R15" s="32" t="str">
        <x:v>Synthetic context before</x:v>
      </x:c>
      <x:c r="S15" s="32" t="str">
        <x:v>Synthetic context after</x:v>
      </x:c>
      <x:c r="T15" s="32" t="str">
        <x:v>Posted</x:v>
      </x:c>
      <x:c r="U15" s="32" t="str">
        <x:f>IFERROR(VLOOKUP(B15&amp;"|24h",'COMMENT_RECHECK'!$V$5:$Y$204,2,FALSE),"Pending")</x:f>
        <x:v>Missing</x:v>
      </x:c>
      <x:c r="V15" s="32" t="n">
        <x:v>0</x:v>
      </x:c>
      <x:c r="W15" s="32" t="str"/>
      <x:c r="X15" s="32" t="n">
        <x:v>0</x:v>
      </x:c>
      <x:c r="Y15" s="32" t="str">
        <x:v>EVD-SYN-0011-POST</x:v>
      </x:c>
      <x:c r="Z15" s="32" t="str"/>
      <x:c r="AA15" s="32" t="str">
        <x:v>Core</x:v>
      </x:c>
      <x:c r="AB15" s="32" t="str">
        <x:v>N/A</x:v>
      </x:c>
      <x:c r="AC15" s="32" t="str">
        <x:v>Styled</x:v>
      </x:c>
      <x:c r="AD15" s="32" t="str">
        <x:v>TH</x:v>
      </x:c>
      <x:c r="AE15" s="32" t="str">
        <x:v>Yes</x:v>
      </x:c>
      <x:c r="AF15" s="32" t="str">
        <x:v>Standard</x:v>
      </x:c>
      <x:c r="AG15" s="32" t="str">
        <x:v>LIB-011</x:v>
      </x:c>
      <x:c r="AH15" s="32" t="str">
        <x:v>TH</x:v>
      </x:c>
      <x:c r="AI15" s="32" t="str">
        <x:v>Main</x:v>
      </x:c>
      <x:c r="AJ15" s="32" t="str">
        <x:v>None</x:v>
      </x:c>
      <x:c r="AK15" s="32" t="str">
        <x:v>inputs/product_images/IMG002.png</x:v>
      </x:c>
      <x:c r="AL15" s="32" t="str"/>
      <x:c r="AM15" s="32" t="str">
        <x:v>N/A</x:v>
      </x:c>
      <x:c r="AN15" s="32" t="str">
        <x:v>N/A</x:v>
      </x:c>
      <x:c r="AO15" s="32" t="str"/>
      <x:c r="AP15" s="32" t="str">
        <x:v>No</x:v>
      </x:c>
      <x:c r="AQ15" s="32" t="str">
        <x:v>Not Started</x:v>
      </x:c>
      <x:c r="AR15" s="32" t="str">
        <x:v>N/A</x:v>
      </x:c>
      <x:c r="AS15" s="32" t="str">
        <x:f>IFERROR(VLOOKUP(B15&amp;"|24h",'COMMENT_RECHECK'!$V$5:$Y$204,3,FALSE),"")</x:f>
        <x:v>None</x:v>
      </x:c>
      <x:c r="AT15" s="32" t="str">
        <x:v>[SANITIZED]</x:v>
      </x:c>
      <x:c r="AU15" s="32" t="str">
        <x:v>case_account_01</x:v>
      </x:c>
      <x:c r="AV15" s="32" t="str">
        <x:v>[SANITIZED]</x:v>
      </x:c>
      <x:c r="AW15" s="32" t="str">
        <x:v>[SANITIZED]</x:v>
      </x:c>
      <x:c r="AX15" s="32" t="str">
        <x:v>[SANITIZED]</x:v>
      </x:c>
      <x:c r="AY15" s="32" t="str">
        <x:v>Manual Simulation</x:v>
      </x:c>
      <x:c r="AZ15" s="32" t="str">
        <x:v>2026-07-20 09:10</x:v>
      </x:c>
      <x:c r="BA15" s="32" t="str">
        <x:v>2026-07-20 09:10</x:v>
      </x:c>
      <x:c r="BB15" s="32" t="str">
        <x:v>Yes</x:v>
      </x:c>
      <x:c r="BC15" s="32" t="str">
        <x:v>Yes</x:v>
      </x:c>
      <x:c r="BD15" s="32" t="str"/>
      <x:c r="BE15" s="32" t="str"/>
      <x:c r="BF15" s="32" t="str">
        <x:v>No</x:v>
      </x:c>
      <x:c r="BG15" s="32" t="str">
        <x:v>No</x:v>
      </x:c>
      <x:c r="BH15" s="32" t="n">
        <x:v>0</x:v>
      </x:c>
      <x:c r="BI15" s="32" t="str">
        <x:v>24h</x:v>
      </x:c>
      <x:c r="BJ15" s="32" t="str">
        <x:f>IFERROR(VLOOKUP(B15&amp;"|24h",'COMMENT_RECHECK'!$V$5:$Y$204,4,FALSE),"Pending")</x:f>
        <x:v>No Verified User Reply</x:v>
      </x:c>
      <x:c r="BK15" s="33" t="str">
        <x:f>IF(OR(COUNTIF($B$5:$B$104,B15)&gt;1,AND(T15="Posted",BC15&lt;&gt;"Yes"),AND(OR(BJ15="Verified User Reply",BJ15="Mixed Reply"),Y15="")),"Review","OK")</x:f>
        <x:v>OK</x:v>
      </x:c>
    </x:row>
    <x:row r="16">
      <x:c r="A16" s="49" t="n">
        <x:v>46224</x:v>
      </x:c>
      <x:c r="B16" s="32" t="str">
        <x:v>IC-0012</x:v>
      </x:c>
      <x:c r="C16" s="32" t="str">
        <x:v>Account Slot 2</x:v>
      </x:c>
      <x:c r="D16" s="32" t="str">
        <x:v>Synthetic Display 2</x:v>
      </x:c>
      <x:c r="E16" s="32" t="str">
        <x:v>10:17</x:v>
      </x:c>
      <x:c r="F16" s="32" t="str">
        <x:v>creator_case_012</x:v>
      </x:c>
      <x:c r="G16" s="32" t="str">
        <x:v>Tailoring</x:v>
      </x:c>
      <x:c r="H16" s="32" t="str">
        <x:v>https://video.invalid/case/V0012</x:v>
      </x:c>
      <x:c r="I16" s="32" t="str">
        <x:v>แจ็กเก็ตเดนิม</x:v>
      </x:c>
      <x:c r="J16" s="32" t="str">
        <x:v>2026-07-20 18:00</x:v>
      </x:c>
      <x:c r="K16" s="32" t="n">
        <x:v>1407</x:v>
      </x:c>
      <x:c r="L16" s="32" t="n">
        <x:v>123</x:v>
      </x:c>
      <x:c r="M16" s="32" t="str">
        <x:v>Main comment</x:v>
      </x:c>
      <x:c r="N16" s="32" t="str">
        <x:v>Main comment</x:v>
      </x:c>
      <x:c r="O16" s="32" t="str">
        <x:v>ซื้อเลย โปรแรงที่สุด คลิกลิงก์ร้านตอนนี้!!!</x:v>
      </x:c>
      <x:c r="P16" s="32" t="str">
        <x:v>IMG004</x:v>
      </x:c>
      <x:c r="Q16" s="32" t="str">
        <x:v>Polished black blazer look with pearl and monochrome fashion-button details</x:v>
      </x:c>
      <x:c r="R16" s="32" t="str">
        <x:v>Synthetic context before</x:v>
      </x:c>
      <x:c r="S16" s="32" t="str">
        <x:v>Synthetic context after</x:v>
      </x:c>
      <x:c r="T16" s="32" t="str">
        <x:v>Posted</x:v>
      </x:c>
      <x:c r="U16" s="32" t="str">
        <x:f>IFERROR(VLOOKUP(B16&amp;"|24h",'COMMENT_RECHECK'!$V$5:$Y$204,2,FALSE),"Pending")</x:f>
        <x:v>Visible</x:v>
      </x:c>
      <x:c r="V16" s="32" t="n">
        <x:v>1</x:v>
      </x:c>
      <x:c r="W16" s="32" t="str">
        <x:v>Synthetic reply preview</x:v>
      </x:c>
      <x:c r="X16" s="32" t="n">
        <x:v>0</x:v>
      </x:c>
      <x:c r="Y16" s="32" t="str">
        <x:v>EVD-SYN-0012-POST</x:v>
      </x:c>
      <x:c r="Z16" s="32" t="str"/>
      <x:c r="AA16" s="32" t="str">
        <x:v>Core</x:v>
      </x:c>
      <x:c r="AB16" s="32" t="str">
        <x:v>N/A</x:v>
      </x:c>
      <x:c r="AC16" s="32" t="str">
        <x:v>Neutral</x:v>
      </x:c>
      <x:c r="AD16" s="32" t="str">
        <x:v>TH</x:v>
      </x:c>
      <x:c r="AE16" s="32" t="str">
        <x:v>Yes</x:v>
      </x:c>
      <x:c r="AF16" s="32" t="str">
        <x:v>Standard</x:v>
      </x:c>
      <x:c r="AG16" s="32" t="str">
        <x:v>LIB-012</x:v>
      </x:c>
      <x:c r="AH16" s="32" t="str">
        <x:v>TH</x:v>
      </x:c>
      <x:c r="AI16" s="32" t="str">
        <x:v>Main</x:v>
      </x:c>
      <x:c r="AJ16" s="32" t="str">
        <x:v>None</x:v>
      </x:c>
      <x:c r="AK16" s="32" t="str">
        <x:v>inputs/product_images/IMG004.png</x:v>
      </x:c>
      <x:c r="AL16" s="32" t="str"/>
      <x:c r="AM16" s="32" t="str">
        <x:v>N/A</x:v>
      </x:c>
      <x:c r="AN16" s="32" t="str">
        <x:v>N/A</x:v>
      </x:c>
      <x:c r="AO16" s="32" t="str"/>
      <x:c r="AP16" s="32" t="str">
        <x:v>No</x:v>
      </x:c>
      <x:c r="AQ16" s="32" t="str">
        <x:v>Not Started</x:v>
      </x:c>
      <x:c r="AR16" s="32" t="str">
        <x:v>N/A</x:v>
      </x:c>
      <x:c r="AS16" s="32" t="str">
        <x:f>IFERROR(VLOOKUP(B16&amp;"|24h",'COMMENT_RECHECK'!$V$5:$Y$204,3,FALSE),"")</x:f>
        <x:v>Creator</x:v>
      </x:c>
      <x:c r="AT16" s="32" t="str">
        <x:v>[SANITIZED]</x:v>
      </x:c>
      <x:c r="AU16" s="32" t="str">
        <x:v>case_account_02</x:v>
      </x:c>
      <x:c r="AV16" s="32" t="str">
        <x:v>[SANITIZED]</x:v>
      </x:c>
      <x:c r="AW16" s="32" t="str">
        <x:v>[SANITIZED]</x:v>
      </x:c>
      <x:c r="AX16" s="32" t="str">
        <x:v>[SANITIZED]</x:v>
      </x:c>
      <x:c r="AY16" s="32" t="str">
        <x:v>Manual Simulation</x:v>
      </x:c>
      <x:c r="AZ16" s="32" t="str">
        <x:v>2026-07-20 10:17</x:v>
      </x:c>
      <x:c r="BA16" s="32" t="str">
        <x:v>2026-07-20 10:17</x:v>
      </x:c>
      <x:c r="BB16" s="32" t="str">
        <x:v>Yes</x:v>
      </x:c>
      <x:c r="BC16" s="32" t="str">
        <x:v>Yes</x:v>
      </x:c>
      <x:c r="BD16" s="32" t="str"/>
      <x:c r="BE16" s="32" t="str"/>
      <x:c r="BF16" s="32" t="str">
        <x:v>No</x:v>
      </x:c>
      <x:c r="BG16" s="32" t="str">
        <x:v>No</x:v>
      </x:c>
      <x:c r="BH16" s="32" t="n">
        <x:v>0</x:v>
      </x:c>
      <x:c r="BI16" s="32" t="str">
        <x:v>24h</x:v>
      </x:c>
      <x:c r="BJ16" s="32" t="str">
        <x:f>IFERROR(VLOOKUP(B16&amp;"|24h",'COMMENT_RECHECK'!$V$5:$Y$204,4,FALSE),"Pending")</x:f>
        <x:v>No Verified User Reply</x:v>
      </x:c>
      <x:c r="BK16" s="33" t="str">
        <x:f>IF(OR(COUNTIF($B$5:$B$104,B16)&gt;1,AND(T16="Posted",BC16&lt;&gt;"Yes"),AND(OR(BJ16="Verified User Reply",BJ16="Mixed Reply"),Y16="")),"Review","OK")</x:f>
        <x:v>Review</x:v>
      </x:c>
    </x:row>
    <x:row r="17">
      <x:c r="A17" s="49" t="n">
        <x:v>46224</x:v>
      </x:c>
      <x:c r="B17" s="32" t="str">
        <x:v>IC-0012</x:v>
      </x:c>
      <x:c r="C17" s="32" t="str">
        <x:v>Account Slot 3</x:v>
      </x:c>
      <x:c r="D17" s="32" t="str">
        <x:v>Synthetic Display 3</x:v>
      </x:c>
      <x:c r="E17" s="32" t="str">
        <x:v>11:24</x:v>
      </x:c>
      <x:c r="F17" s="32" t="str">
        <x:v>creator_case_013</x:v>
      </x:c>
      <x:c r="G17" s="32" t="str">
        <x:v>Fashion</x:v>
      </x:c>
      <x:c r="H17" s="32" t="str">
        <x:v>https://video.invalid/case/V0013</x:v>
      </x:c>
      <x:c r="I17" s="32" t="str">
        <x:v>เดรสออกงาน</x:v>
      </x:c>
      <x:c r="J17" s="32" t="str">
        <x:v>2026-07-20 18:00</x:v>
      </x:c>
      <x:c r="K17" s="32" t="n">
        <x:v>1444</x:v>
      </x:c>
      <x:c r="L17" s="32" t="n">
        <x:v>126</x:v>
      </x:c>
      <x:c r="M17" s="32" t="str">
        <x:v>Reply</x:v>
      </x:c>
      <x:c r="N17" s="32" t="str">
        <x:v>Synthetic parent</x:v>
      </x:c>
      <x:c r="O17" s="32" t="str">
        <x:v>ชอบความคลีนของเสื้อเชิ้ตลุคนี้ ดูใส่ได้หลายโอกาสเลย จุดเล็ก ๆ โทนชมพูแบบในรูปทำให้เสื้อขาวดูละมุนและแต่งสนุกขึ้นมาก</x:v>
      </x:c>
      <x:c r="P17" s="32" t="str">
        <x:v>IMG002</x:v>
      </x:c>
      <x:c r="Q17" s="32" t="str">
        <x:v>White shirt with floral fashion-button details at the collar and cuff</x:v>
      </x:c>
      <x:c r="R17" s="32" t="str">
        <x:v>Synthetic context before</x:v>
      </x:c>
      <x:c r="S17" s="32" t="str">
        <x:v>Synthetic context after</x:v>
      </x:c>
      <x:c r="T17" s="32" t="str">
        <x:v>Posted</x:v>
      </x:c>
      <x:c r="U17" s="32" t="str">
        <x:f>IFERROR(VLOOKUP(B17&amp;"|24h",'COMMENT_RECHECK'!$V$5:$Y$204,2,FALSE),"Pending")</x:f>
        <x:v>Visible</x:v>
      </x:c>
      <x:c r="V17" s="32" t="n">
        <x:v>0</x:v>
      </x:c>
      <x:c r="W17" s="32" t="str"/>
      <x:c r="X17" s="32" t="n">
        <x:v>0</x:v>
      </x:c>
      <x:c r="Y17" s="32" t="str">
        <x:v>EVD-SYN-0013-POST</x:v>
      </x:c>
      <x:c r="Z17" s="32" t="str"/>
      <x:c r="AA17" s="32" t="str">
        <x:v>Core</x:v>
      </x:c>
      <x:c r="AB17" s="32" t="str">
        <x:v>N/A</x:v>
      </x:c>
      <x:c r="AC17" s="32" t="str">
        <x:v>Styled</x:v>
      </x:c>
      <x:c r="AD17" s="32" t="str">
        <x:v>TH</x:v>
      </x:c>
      <x:c r="AE17" s="32" t="str">
        <x:v>Yes</x:v>
      </x:c>
      <x:c r="AF17" s="32" t="str">
        <x:v>Standard</x:v>
      </x:c>
      <x:c r="AG17" s="32" t="str">
        <x:v>LIB-013</x:v>
      </x:c>
      <x:c r="AH17" s="32" t="str">
        <x:v>TH</x:v>
      </x:c>
      <x:c r="AI17" s="32" t="str">
        <x:v>Reply</x:v>
      </x:c>
      <x:c r="AJ17" s="32" t="str">
        <x:v>Reference</x:v>
      </x:c>
      <x:c r="AK17" s="32" t="str">
        <x:v>inputs/product_images/IMG002.png</x:v>
      </x:c>
      <x:c r="AL17" s="32" t="str"/>
      <x:c r="AM17" s="32" t="str">
        <x:v>Yes</x:v>
      </x:c>
      <x:c r="AN17" s="32" t="str">
        <x:v>Complete</x:v>
      </x:c>
      <x:c r="AO17" s="32" t="str"/>
      <x:c r="AP17" s="32" t="str">
        <x:v>No</x:v>
      </x:c>
      <x:c r="AQ17" s="32" t="str">
        <x:v>Not Started</x:v>
      </x:c>
      <x:c r="AR17" s="32" t="str">
        <x:v>Fit</x:v>
      </x:c>
      <x:c r="AS17" s="32" t="str">
        <x:f>IFERROR(VLOOKUP(B17&amp;"|24h",'COMMENT_RECHECK'!$V$5:$Y$204,3,FALSE),"")</x:f>
        <x:v>Creator</x:v>
      </x:c>
      <x:c r="AT17" s="32" t="str">
        <x:v>[SANITIZED]</x:v>
      </x:c>
      <x:c r="AU17" s="32" t="str">
        <x:v>case_account_03</x:v>
      </x:c>
      <x:c r="AV17" s="32" t="str">
        <x:v>[SANITIZED]</x:v>
      </x:c>
      <x:c r="AW17" s="32" t="str">
        <x:v>[SANITIZED]</x:v>
      </x:c>
      <x:c r="AX17" s="32" t="str">
        <x:v>[SANITIZED]</x:v>
      </x:c>
      <x:c r="AY17" s="32" t="str">
        <x:v>Manual Simulation</x:v>
      </x:c>
      <x:c r="AZ17" s="32" t="str">
        <x:v>2026-07-20 11:24</x:v>
      </x:c>
      <x:c r="BA17" s="32" t="str">
        <x:v>2026-07-20 11:24</x:v>
      </x:c>
      <x:c r="BB17" s="32" t="str">
        <x:v>Yes</x:v>
      </x:c>
      <x:c r="BC17" s="32" t="str">
        <x:v>Yes</x:v>
      </x:c>
      <x:c r="BD17" s="32" t="str"/>
      <x:c r="BE17" s="32" t="str"/>
      <x:c r="BF17" s="32" t="str">
        <x:v>No</x:v>
      </x:c>
      <x:c r="BG17" s="32" t="str">
        <x:v>No</x:v>
      </x:c>
      <x:c r="BH17" s="32" t="n">
        <x:v>0</x:v>
      </x:c>
      <x:c r="BI17" s="32" t="str">
        <x:v>24h</x:v>
      </x:c>
      <x:c r="BJ17" s="32" t="str">
        <x:f>IFERROR(VLOOKUP(B17&amp;"|24h",'COMMENT_RECHECK'!$V$5:$Y$204,4,FALSE),"Pending")</x:f>
        <x:v>No Verified User Reply</x:v>
      </x:c>
      <x:c r="BK17" s="33" t="str">
        <x:f>IF(OR(COUNTIF($B$5:$B$104,B17)&gt;1,AND(T17="Posted",BC17&lt;&gt;"Yes"),AND(OR(BJ17="Verified User Reply",BJ17="Mixed Reply"),Y17="")),"Review","OK")</x:f>
        <x:v>Review</x:v>
      </x:c>
    </x:row>
    <x:row r="18">
      <x:c r="A18" s="49" t="n">
        <x:v>46224</x:v>
      </x:c>
      <x:c r="B18" s="32" t="str">
        <x:v>IC-0014</x:v>
      </x:c>
      <x:c r="C18" s="32" t="str">
        <x:v>Account Slot 4</x:v>
      </x:c>
      <x:c r="D18" s="32" t="str">
        <x:v>Synthetic Display 4</x:v>
      </x:c>
      <x:c r="E18" s="32" t="str">
        <x:v>12:31</x:v>
      </x:c>
      <x:c r="F18" s="32" t="str">
        <x:v>creator_case_014</x:v>
      </x:c>
      <x:c r="G18" s="32" t="str">
        <x:v>DIY</x:v>
      </x:c>
      <x:c r="H18" s="32" t="str">
        <x:v>https://video.invalid/case/V0014</x:v>
      </x:c>
      <x:c r="I18" s="32" t="str">
        <x:v>งานเย็บ DIY</x:v>
      </x:c>
      <x:c r="J18" s="32" t="str">
        <x:v>2026-07-20 18:00</x:v>
      </x:c>
      <x:c r="K18" s="32" t="n">
        <x:v>1481</x:v>
      </x:c>
      <x:c r="L18" s="32" t="n">
        <x:v>129</x:v>
      </x:c>
      <x:c r="M18" s="32" t="str">
        <x:v>Main comment</x:v>
      </x:c>
      <x:c r="N18" s="32" t="str">
        <x:v>Main comment</x:v>
      </x:c>
      <x:c r="O18" s="32" t="str">
        <x:v>มู้ดของลุคนี้ดูสุภาพแต่ไม่ทำให้ชุดน่าเบื่อเลย ถ้าเติมจุดเล็กตรงแนวกระดุมแบบในรูป เสื้อพื้นฐานน่าจะได้อีกมู้ดที่ดูตั้งใจขึ้น</x:v>
      </x:c>
      <x:c r="P18" s="32" t="str">
        <x:v>IMG002</x:v>
      </x:c>
      <x:c r="Q18" s="32" t="str">
        <x:v>White shirt with floral fashion-button details at the collar and cuff</x:v>
      </x:c>
      <x:c r="R18" s="32" t="str">
        <x:v>Synthetic context before</x:v>
      </x:c>
      <x:c r="S18" s="32" t="str">
        <x:v>Synthetic context after</x:v>
      </x:c>
      <x:c r="T18" s="32" t="str">
        <x:v>Posted</x:v>
      </x:c>
      <x:c r="U18" s="32" t="str">
        <x:f>IFERROR(VLOOKUP(B18&amp;"|24h",'COMMENT_RECHECK'!$V$5:$Y$204,2,FALSE),"Pending")</x:f>
        <x:v>Visible</x:v>
      </x:c>
      <x:c r="V18" s="32" t="n">
        <x:v>2</x:v>
      </x:c>
      <x:c r="W18" s="32" t="str">
        <x:v>Synthetic reply preview</x:v>
      </x:c>
      <x:c r="X18" s="32" t="n">
        <x:v>0</x:v>
      </x:c>
      <x:c r="Y18" s="32" t="str">
        <x:v>EVD-SYN-0014-POST</x:v>
      </x:c>
      <x:c r="Z18" s="32" t="str"/>
      <x:c r="AA18" s="32" t="str">
        <x:v>Core</x:v>
      </x:c>
      <x:c r="AB18" s="32" t="str">
        <x:v>N/A</x:v>
      </x:c>
      <x:c r="AC18" s="32" t="str">
        <x:v>Neutral</x:v>
      </x:c>
      <x:c r="AD18" s="32" t="str">
        <x:v>TH</x:v>
      </x:c>
      <x:c r="AE18" s="32" t="str">
        <x:v>Yes</x:v>
      </x:c>
      <x:c r="AF18" s="32" t="str">
        <x:v>Standard</x:v>
      </x:c>
      <x:c r="AG18" s="32" t="str">
        <x:v>LIB-014</x:v>
      </x:c>
      <x:c r="AH18" s="32" t="str">
        <x:v>TH</x:v>
      </x:c>
      <x:c r="AI18" s="32" t="str">
        <x:v>Main</x:v>
      </x:c>
      <x:c r="AJ18" s="32" t="str">
        <x:v>None</x:v>
      </x:c>
      <x:c r="AK18" s="32" t="str">
        <x:v>inputs/product_images/IMG002.png</x:v>
      </x:c>
      <x:c r="AL18" s="32" t="str"/>
      <x:c r="AM18" s="32" t="str">
        <x:v>N/A</x:v>
      </x:c>
      <x:c r="AN18" s="32" t="str">
        <x:v>N/A</x:v>
      </x:c>
      <x:c r="AO18" s="32" t="str"/>
      <x:c r="AP18" s="32" t="str">
        <x:v>Potential</x:v>
      </x:c>
      <x:c r="AQ18" s="32" t="str">
        <x:v>Not Started</x:v>
      </x:c>
      <x:c r="AR18" s="32" t="str">
        <x:v>N/A</x:v>
      </x:c>
      <x:c r="AS18" s="32" t="str">
        <x:f>IFERROR(VLOOKUP(B18&amp;"|24h",'COMMENT_RECHECK'!$V$5:$Y$204,3,FALSE),"")</x:f>
        <x:v>Mixed</x:v>
      </x:c>
      <x:c r="AT18" s="32" t="str">
        <x:v>[SANITIZED]</x:v>
      </x:c>
      <x:c r="AU18" s="32" t="str">
        <x:v>case_account_04</x:v>
      </x:c>
      <x:c r="AV18" s="32" t="str">
        <x:v>[SANITIZED]</x:v>
      </x:c>
      <x:c r="AW18" s="32" t="str">
        <x:v>[SANITIZED]</x:v>
      </x:c>
      <x:c r="AX18" s="32" t="str">
        <x:v>[SANITIZED]</x:v>
      </x:c>
      <x:c r="AY18" s="32" t="str">
        <x:v>Manual Simulation</x:v>
      </x:c>
      <x:c r="AZ18" s="32" t="str">
        <x:v>2026-07-20 12:31</x:v>
      </x:c>
      <x:c r="BA18" s="32" t="str">
        <x:v>2026-07-20 12:31</x:v>
      </x:c>
      <x:c r="BB18" s="32" t="str">
        <x:v>Yes</x:v>
      </x:c>
      <x:c r="BC18" s="32" t="str">
        <x:v>Yes</x:v>
      </x:c>
      <x:c r="BD18" s="32" t="str"/>
      <x:c r="BE18" s="32" t="str"/>
      <x:c r="BF18" s="32" t="str">
        <x:v>No</x:v>
      </x:c>
      <x:c r="BG18" s="32" t="str">
        <x:v>No</x:v>
      </x:c>
      <x:c r="BH18" s="32" t="n">
        <x:v>0</x:v>
      </x:c>
      <x:c r="BI18" s="32" t="str">
        <x:v>24h</x:v>
      </x:c>
      <x:c r="BJ18" s="32" t="str">
        <x:f>IFERROR(VLOOKUP(B18&amp;"|24h",'COMMENT_RECHECK'!$V$5:$Y$204,4,FALSE),"Pending")</x:f>
        <x:v>Mixed Reply</x:v>
      </x:c>
      <x:c r="BK18" s="33" t="str">
        <x:f>IF(OR(COUNTIF($B$5:$B$104,B18)&gt;1,AND(T18="Posted",BC18&lt;&gt;"Yes"),AND(OR(BJ18="Verified User Reply",BJ18="Mixed Reply"),Y18="")),"Review","OK")</x:f>
        <x:v>OK</x:v>
      </x:c>
    </x:row>
    <x:row r="19">
      <x:c r="A19" s="49" t="n">
        <x:v>46224</x:v>
      </x:c>
      <x:c r="B19" s="32" t="str">
        <x:v>IC-0015</x:v>
      </x:c>
      <x:c r="C19" s="32" t="str">
        <x:v>Account Slot 5</x:v>
      </x:c>
      <x:c r="D19" s="32" t="str">
        <x:v>Synthetic Display 5</x:v>
      </x:c>
      <x:c r="E19" s="32" t="str">
        <x:v>13:38</x:v>
      </x:c>
      <x:c r="F19" s="32" t="str">
        <x:v>creator_case_015</x:v>
      </x:c>
      <x:c r="G19" s="32" t="str">
        <x:v>Lifestyle</x:v>
      </x:c>
      <x:c r="H19" s="32" t="str">
        <x:v>https://video.invalid/case/V0015</x:v>
      </x:c>
      <x:c r="I19" s="32" t="str">
        <x:v>การซ่อมเสื้อ</x:v>
      </x:c>
      <x:c r="J19" s="32" t="str">
        <x:v>2026-07-20 18:00</x:v>
      </x:c>
      <x:c r="K19" s="32" t="n">
        <x:v>1518</x:v>
      </x:c>
      <x:c r="L19" s="32" t="n">
        <x:v>132</x:v>
      </x:c>
      <x:c r="M19" s="32" t="str">
        <x:v>Main comment</x:v>
      </x:c>
      <x:c r="N19" s="32" t="str">
        <x:v>Main comment</x:v>
      </x:c>
      <x:c r="O19" s="32" t="str">
        <x:v>ลุคไปทำงานแบบนี้ดูคล่องตัวและเป็นระเบียบมาก พอมีตัวครอบกระดุมชิ้นเล็กแบบในรูป ช่วงคอกับข้อมือก็ดูตั้งใจขึ้นทันที</x:v>
      </x:c>
      <x:c r="P19" s="32" t="str">
        <x:v>IMG002</x:v>
      </x:c>
      <x:c r="Q19" s="32" t="str">
        <x:v>White shirt with floral fashion-button details at the collar and cuff</x:v>
      </x:c>
      <x:c r="R19" s="32" t="str">
        <x:v>Synthetic context before</x:v>
      </x:c>
      <x:c r="S19" s="32" t="str">
        <x:v>Synthetic context after</x:v>
      </x:c>
      <x:c r="T19" s="32" t="str">
        <x:v>Posted</x:v>
      </x:c>
      <x:c r="U19" s="32" t="str">
        <x:f>IFERROR(VLOOKUP(B19&amp;"|24h",'COMMENT_RECHECK'!$V$5:$Y$204,2,FALSE),"Pending")</x:f>
        <x:v>Visible</x:v>
      </x:c>
      <x:c r="V19" s="32" t="n">
        <x:v>1</x:v>
      </x:c>
      <x:c r="W19" s="32" t="str">
        <x:v>Synthetic reply preview</x:v>
      </x:c>
      <x:c r="X19" s="32" t="n">
        <x:v>0</x:v>
      </x:c>
      <x:c r="Y19" s="32" t="str">
        <x:v>EVD-SYN-0015-POST</x:v>
      </x:c>
      <x:c r="Z19" s="32" t="str"/>
      <x:c r="AA19" s="32" t="str">
        <x:v>Core</x:v>
      </x:c>
      <x:c r="AB19" s="32" t="str">
        <x:v>N/A</x:v>
      </x:c>
      <x:c r="AC19" s="32" t="str">
        <x:v>Styled</x:v>
      </x:c>
      <x:c r="AD19" s="32" t="str">
        <x:v>TH</x:v>
      </x:c>
      <x:c r="AE19" s="32" t="str">
        <x:v>Yes</x:v>
      </x:c>
      <x:c r="AF19" s="32" t="str">
        <x:v>Standard</x:v>
      </x:c>
      <x:c r="AG19" s="32" t="str">
        <x:v>LIB-015</x:v>
      </x:c>
      <x:c r="AH19" s="32" t="str">
        <x:v>TH</x:v>
      </x:c>
      <x:c r="AI19" s="32" t="str">
        <x:v>Main</x:v>
      </x:c>
      <x:c r="AJ19" s="32" t="str">
        <x:v>None</x:v>
      </x:c>
      <x:c r="AK19" s="32" t="str">
        <x:v>inputs/product_images/IMG002.png</x:v>
      </x:c>
      <x:c r="AL19" s="32" t="str"/>
      <x:c r="AM19" s="32" t="str">
        <x:v>N/A</x:v>
      </x:c>
      <x:c r="AN19" s="32" t="str">
        <x:v>N/A</x:v>
      </x:c>
      <x:c r="AO19" s="32" t="str"/>
      <x:c r="AP19" s="32" t="str">
        <x:v>Potential</x:v>
      </x:c>
      <x:c r="AQ19" s="32" t="str">
        <x:v>Not Started</x:v>
      </x:c>
      <x:c r="AR19" s="32" t="str">
        <x:v>N/A</x:v>
      </x:c>
      <x:c r="AS19" s="32" t="str">
        <x:f>IFERROR(VLOOKUP(B19&amp;"|24h",'COMMENT_RECHECK'!$V$5:$Y$204,3,FALSE),"")</x:f>
        <x:v>User</x:v>
      </x:c>
      <x:c r="AT19" s="32" t="str">
        <x:v>[SANITIZED]</x:v>
      </x:c>
      <x:c r="AU19" s="32" t="str">
        <x:v>case_account_05</x:v>
      </x:c>
      <x:c r="AV19" s="32" t="str">
        <x:v>[SANITIZED]</x:v>
      </x:c>
      <x:c r="AW19" s="32" t="str">
        <x:v>[SANITIZED]</x:v>
      </x:c>
      <x:c r="AX19" s="32" t="str">
        <x:v>[SANITIZED]</x:v>
      </x:c>
      <x:c r="AY19" s="32" t="str">
        <x:v>Manual Simulation</x:v>
      </x:c>
      <x:c r="AZ19" s="32" t="str">
        <x:v>2026-07-20 13:38</x:v>
      </x:c>
      <x:c r="BA19" s="32" t="str">
        <x:v>2026-07-20 13:38</x:v>
      </x:c>
      <x:c r="BB19" s="32" t="str">
        <x:v>Yes</x:v>
      </x:c>
      <x:c r="BC19" s="32" t="str">
        <x:v>Yes</x:v>
      </x:c>
      <x:c r="BD19" s="32" t="str"/>
      <x:c r="BE19" s="32" t="str"/>
      <x:c r="BF19" s="32" t="str">
        <x:v>No</x:v>
      </x:c>
      <x:c r="BG19" s="32" t="str">
        <x:v>No</x:v>
      </x:c>
      <x:c r="BH19" s="32" t="n">
        <x:v>0</x:v>
      </x:c>
      <x:c r="BI19" s="32" t="str">
        <x:v>24h</x:v>
      </x:c>
      <x:c r="BJ19" s="32" t="str">
        <x:f>IFERROR(VLOOKUP(B19&amp;"|24h",'COMMENT_RECHECK'!$V$5:$Y$204,4,FALSE),"Pending")</x:f>
        <x:v>Verified User Reply</x:v>
      </x:c>
      <x:c r="BK19" s="33" t="str">
        <x:f>IF(OR(COUNTIF($B$5:$B$104,B19)&gt;1,AND(T19="Posted",BC19&lt;&gt;"Yes"),AND(OR(BJ19="Verified User Reply",BJ19="Mixed Reply"),Y19="")),"Review","OK")</x:f>
        <x:v>OK</x:v>
      </x:c>
    </x:row>
    <x:row r="20">
      <x:c r="A20" s="49" t="n">
        <x:v>46224</x:v>
      </x:c>
      <x:c r="B20" s="32" t="str">
        <x:v>IC-0016</x:v>
      </x:c>
      <x:c r="C20" s="32" t="str">
        <x:v>Account Slot 6</x:v>
      </x:c>
      <x:c r="D20" s="32" t="str">
        <x:v>Synthetic Display 6</x:v>
      </x:c>
      <x:c r="E20" s="32" t="str">
        <x:v>14:45</x:v>
      </x:c>
      <x:c r="F20" s="32" t="str">
        <x:v>creator_case_016</x:v>
      </x:c>
      <x:c r="G20" s="32" t="str">
        <x:v>Tailoring</x:v>
      </x:c>
      <x:c r="H20" s="32" t="str">
        <x:v>https://video.invalid/case/V0016</x:v>
      </x:c>
      <x:c r="I20" s="32" t="str">
        <x:v>แฟชั่นวินเทจ</x:v>
      </x:c>
      <x:c r="J20" s="32" t="str">
        <x:v>2026-07-20 18:00</x:v>
      </x:c>
      <x:c r="K20" s="32" t="n">
        <x:v>1555</x:v>
      </x:c>
      <x:c r="L20" s="32" t="n">
        <x:v>135</x:v>
      </x:c>
      <x:c r="M20" s="32" t="str">
        <x:v>Main comment</x:v>
      </x:c>
      <x:c r="N20" s="32" t="str">
        <x:v>Main comment</x:v>
      </x:c>
      <x:c r="O20" s="32" t="str">
        <x:v>มู้ดของลุคนี้ดูสุภาพแต่ไม่ทำให้ชุดน่าเบื่อเลย ถ้าเล่นลูกเล่นกระดุมดอกไม้เล็ก ๆ แบบในรูป ช่วงบนของลุคน่าจะเด่นขึ้นพอดีค่ะ</x:v>
      </x:c>
      <x:c r="P20" s="32" t="str">
        <x:v>IMG002</x:v>
      </x:c>
      <x:c r="Q20" s="32" t="str">
        <x:v>White shirt with floral fashion-button details at the collar and cuff</x:v>
      </x:c>
      <x:c r="R20" s="32" t="str">
        <x:v>Synthetic context before</x:v>
      </x:c>
      <x:c r="S20" s="32" t="str">
        <x:v>Synthetic context after</x:v>
      </x:c>
      <x:c r="T20" s="32" t="str">
        <x:v>Posted</x:v>
      </x:c>
      <x:c r="U20" s="32" t="str">
        <x:f>IFERROR(VLOOKUP(B20&amp;"|24h",'COMMENT_RECHECK'!$V$5:$Y$204,2,FALSE),"Pending")</x:f>
        <x:v>Missing</x:v>
      </x:c>
      <x:c r="V20" s="32" t="n">
        <x:v>0</x:v>
      </x:c>
      <x:c r="W20" s="32" t="str"/>
      <x:c r="X20" s="32" t="n">
        <x:v>0</x:v>
      </x:c>
      <x:c r="Y20" s="32" t="str">
        <x:v>EVD-SYN-0016-POST</x:v>
      </x:c>
      <x:c r="Z20" s="32" t="str"/>
      <x:c r="AA20" s="32" t="str">
        <x:v>Core</x:v>
      </x:c>
      <x:c r="AB20" s="32" t="str">
        <x:v>N/A</x:v>
      </x:c>
      <x:c r="AC20" s="32" t="str">
        <x:v>Neutral</x:v>
      </x:c>
      <x:c r="AD20" s="32" t="str">
        <x:v>TH</x:v>
      </x:c>
      <x:c r="AE20" s="32" t="str">
        <x:v>Yes</x:v>
      </x:c>
      <x:c r="AF20" s="32" t="str">
        <x:v>Standard</x:v>
      </x:c>
      <x:c r="AG20" s="32" t="str">
        <x:v>LIB-016</x:v>
      </x:c>
      <x:c r="AH20" s="32" t="str">
        <x:v>TH</x:v>
      </x:c>
      <x:c r="AI20" s="32" t="str">
        <x:v>Main</x:v>
      </x:c>
      <x:c r="AJ20" s="32" t="str">
        <x:v>None</x:v>
      </x:c>
      <x:c r="AK20" s="32" t="str">
        <x:v>inputs/product_images/IMG002.png</x:v>
      </x:c>
      <x:c r="AL20" s="32" t="str"/>
      <x:c r="AM20" s="32" t="str">
        <x:v>N/A</x:v>
      </x:c>
      <x:c r="AN20" s="32" t="str">
        <x:v>N/A</x:v>
      </x:c>
      <x:c r="AO20" s="32" t="str"/>
      <x:c r="AP20" s="32" t="str">
        <x:v>No</x:v>
      </x:c>
      <x:c r="AQ20" s="32" t="str">
        <x:v>Not Started</x:v>
      </x:c>
      <x:c r="AR20" s="32" t="str">
        <x:v>N/A</x:v>
      </x:c>
      <x:c r="AS20" s="32" t="str">
        <x:f>IFERROR(VLOOKUP(B20&amp;"|24h",'COMMENT_RECHECK'!$V$5:$Y$204,3,FALSE),"")</x:f>
        <x:v>None</x:v>
      </x:c>
      <x:c r="AT20" s="32" t="str">
        <x:v>[SANITIZED]</x:v>
      </x:c>
      <x:c r="AU20" s="32" t="str">
        <x:v>case_account_06</x:v>
      </x:c>
      <x:c r="AV20" s="32" t="str">
        <x:v>[SANITIZED]</x:v>
      </x:c>
      <x:c r="AW20" s="32" t="str">
        <x:v>[SANITIZED]</x:v>
      </x:c>
      <x:c r="AX20" s="32" t="str">
        <x:v>[SANITIZED]</x:v>
      </x:c>
      <x:c r="AY20" s="32" t="str">
        <x:v>Manual Simulation</x:v>
      </x:c>
      <x:c r="AZ20" s="32" t="str">
        <x:v>2026-07-20 14:45</x:v>
      </x:c>
      <x:c r="BA20" s="32" t="str">
        <x:v>2026-07-20 14:45</x:v>
      </x:c>
      <x:c r="BB20" s="32" t="str">
        <x:v>Yes</x:v>
      </x:c>
      <x:c r="BC20" s="32" t="str">
        <x:v>Yes</x:v>
      </x:c>
      <x:c r="BD20" s="32" t="str"/>
      <x:c r="BE20" s="32" t="str"/>
      <x:c r="BF20" s="32" t="str">
        <x:v>No</x:v>
      </x:c>
      <x:c r="BG20" s="32" t="str">
        <x:v>No</x:v>
      </x:c>
      <x:c r="BH20" s="32" t="n">
        <x:v>0</x:v>
      </x:c>
      <x:c r="BI20" s="32" t="str">
        <x:v>24h</x:v>
      </x:c>
      <x:c r="BJ20" s="32" t="str">
        <x:f>IFERROR(VLOOKUP(B20&amp;"|24h",'COMMENT_RECHECK'!$V$5:$Y$204,4,FALSE),"Pending")</x:f>
        <x:v>No Verified User Reply</x:v>
      </x:c>
      <x:c r="BK20" s="33" t="str">
        <x:f>IF(OR(COUNTIF($B$5:$B$104,B20)&gt;1,AND(T20="Posted",BC20&lt;&gt;"Yes"),AND(OR(BJ20="Verified User Reply",BJ20="Mixed Reply"),Y20="")),"Review","OK")</x:f>
        <x:v>OK</x:v>
      </x:c>
    </x:row>
    <x:row r="21">
      <x:c r="A21" s="49" t="n">
        <x:v>46224</x:v>
      </x:c>
      <x:c r="B21" s="32" t="str">
        <x:v>IC-0017</x:v>
      </x:c>
      <x:c r="C21" s="32" t="str">
        <x:v>Account Slot 7</x:v>
      </x:c>
      <x:c r="D21" s="32" t="str">
        <x:v>Synthetic Display 7</x:v>
      </x:c>
      <x:c r="E21" s="32" t="str">
        <x:v>15:52</x:v>
      </x:c>
      <x:c r="F21" s="32" t="str">
        <x:v>creator_case_017</x:v>
      </x:c>
      <x:c r="G21" s="32" t="str">
        <x:v>Fashion</x:v>
      </x:c>
      <x:c r="H21" s="32" t="str">
        <x:v>https://video.invalid/case/V0017</x:v>
      </x:c>
      <x:c r="I21" s="32" t="str">
        <x:v>เสื้อเด็ก</x:v>
      </x:c>
      <x:c r="J21" s="32" t="str">
        <x:v>2026-07-20 18:00</x:v>
      </x:c>
      <x:c r="K21" s="32" t="n">
        <x:v>1592</x:v>
      </x:c>
      <x:c r="L21" s="32" t="n">
        <x:v>138</x:v>
      </x:c>
      <x:c r="M21" s="32" t="str">
        <x:v>Reply</x:v>
      </x:c>
      <x:c r="N21" s="32" t="str">
        <x:v>Synthetic parent</x:v>
      </x:c>
      <x:c r="O21" s="32" t="str">
        <x:v>ภาพรวมของ office look นี้ดูตั้งใจแบบไม่เยอะเกินไปค่ะ ดีเทลกระดุมดอกไม้ตรงคอและปลายแขนแบบในรูปช่วยให้เสื้อเรียบดูมีเรื่องราวขึ้นเลย</x:v>
      </x:c>
      <x:c r="P21" s="32" t="str">
        <x:v>IMG002</x:v>
      </x:c>
      <x:c r="Q21" s="32" t="str">
        <x:v>White shirt with floral fashion-button details at the collar and cuff</x:v>
      </x:c>
      <x:c r="R21" s="32" t="str">
        <x:v>Synthetic context before</x:v>
      </x:c>
      <x:c r="S21" s="32" t="str">
        <x:v>Synthetic context after</x:v>
      </x:c>
      <x:c r="T21" s="32" t="str">
        <x:v>Posted</x:v>
      </x:c>
      <x:c r="U21" s="32" t="str">
        <x:f>IFERROR(VLOOKUP(B21&amp;"|24h",'COMMENT_RECHECK'!$V$5:$Y$204,2,FALSE),"Pending")</x:f>
        <x:v>Visible</x:v>
      </x:c>
      <x:c r="V21" s="32" t="n">
        <x:v>0</x:v>
      </x:c>
      <x:c r="W21" s="32" t="str"/>
      <x:c r="X21" s="32" t="n">
        <x:v>0</x:v>
      </x:c>
      <x:c r="Y21" s="32" t="str">
        <x:v>EVD-SYN-0017-POST</x:v>
      </x:c>
      <x:c r="Z21" s="32" t="str"/>
      <x:c r="AA21" s="32" t="str">
        <x:v>Core</x:v>
      </x:c>
      <x:c r="AB21" s="32" t="str">
        <x:v>N/A</x:v>
      </x:c>
      <x:c r="AC21" s="32" t="str">
        <x:v>Styled</x:v>
      </x:c>
      <x:c r="AD21" s="32" t="str">
        <x:v>TH</x:v>
      </x:c>
      <x:c r="AE21" s="32" t="str">
        <x:v>Yes</x:v>
      </x:c>
      <x:c r="AF21" s="32" t="str">
        <x:v>Standard</x:v>
      </x:c>
      <x:c r="AG21" s="32" t="str">
        <x:v>LIB-017</x:v>
      </x:c>
      <x:c r="AH21" s="32" t="str">
        <x:v>TH</x:v>
      </x:c>
      <x:c r="AI21" s="32" t="str">
        <x:v>Reply</x:v>
      </x:c>
      <x:c r="AJ21" s="32" t="str">
        <x:v>None</x:v>
      </x:c>
      <x:c r="AK21" s="32" t="str">
        <x:v>inputs/product_images/IMG002.png</x:v>
      </x:c>
      <x:c r="AL21" s="32" t="str"/>
      <x:c r="AM21" s="32" t="str">
        <x:v>N/A</x:v>
      </x:c>
      <x:c r="AN21" s="32" t="str">
        <x:v>N/A</x:v>
      </x:c>
      <x:c r="AO21" s="32" t="str"/>
      <x:c r="AP21" s="32" t="str">
        <x:v>No</x:v>
      </x:c>
      <x:c r="AQ21" s="32" t="str">
        <x:v>Not Started</x:v>
      </x:c>
      <x:c r="AR21" s="32" t="str">
        <x:v>N/A</x:v>
      </x:c>
      <x:c r="AS21" s="32" t="str">
        <x:f>IFERROR(VLOOKUP(B21&amp;"|24h",'COMMENT_RECHECK'!$V$5:$Y$204,3,FALSE),"")</x:f>
        <x:v>None</x:v>
      </x:c>
      <x:c r="AT21" s="32" t="str">
        <x:v>[SANITIZED]</x:v>
      </x:c>
      <x:c r="AU21" s="32" t="str">
        <x:v>case_account_07</x:v>
      </x:c>
      <x:c r="AV21" s="32" t="str">
        <x:v>[SANITIZED]</x:v>
      </x:c>
      <x:c r="AW21" s="32" t="str">
        <x:v>[SANITIZED]</x:v>
      </x:c>
      <x:c r="AX21" s="32" t="str">
        <x:v>[SANITIZED]</x:v>
      </x:c>
      <x:c r="AY21" s="32" t="str">
        <x:v>Manual Simulation</x:v>
      </x:c>
      <x:c r="AZ21" s="32" t="str">
        <x:v>2026-07-20 15:52</x:v>
      </x:c>
      <x:c r="BA21" s="32" t="str">
        <x:v>2026-07-20 15:52</x:v>
      </x:c>
      <x:c r="BB21" s="32" t="str">
        <x:v>Yes</x:v>
      </x:c>
      <x:c r="BC21" s="32" t="str">
        <x:v>Yes</x:v>
      </x:c>
      <x:c r="BD21" s="32" t="str"/>
      <x:c r="BE21" s="32" t="str"/>
      <x:c r="BF21" s="32" t="str">
        <x:v>No</x:v>
      </x:c>
      <x:c r="BG21" s="32" t="str">
        <x:v>No</x:v>
      </x:c>
      <x:c r="BH21" s="32" t="n">
        <x:v>0</x:v>
      </x:c>
      <x:c r="BI21" s="32" t="str">
        <x:v>24h</x:v>
      </x:c>
      <x:c r="BJ21" s="32" t="str">
        <x:f>IFERROR(VLOOKUP(B21&amp;"|24h",'COMMENT_RECHECK'!$V$5:$Y$204,4,FALSE),"Pending")</x:f>
        <x:v>No Verified User Reply</x:v>
      </x:c>
      <x:c r="BK21" s="33" t="str">
        <x:f>IF(OR(COUNTIF($B$5:$B$104,B21)&gt;1,AND(T21="Posted",BC21&lt;&gt;"Yes"),AND(OR(BJ21="Verified User Reply",BJ21="Mixed Reply"),Y21="")),"Review","OK")</x:f>
        <x:v>OK</x:v>
      </x:c>
    </x:row>
    <x:row r="22">
      <x:c r="A22" s="49" t="n">
        <x:v>46224</x:v>
      </x:c>
      <x:c r="B22" s="32" t="str">
        <x:v>IC-0018</x:v>
      </x:c>
      <x:c r="C22" s="32" t="str">
        <x:v>Account Slot 8</x:v>
      </x:c>
      <x:c r="D22" s="32" t="str">
        <x:v>Synthetic Display 8</x:v>
      </x:c>
      <x:c r="E22" s="32" t="str">
        <x:v>16:59</x:v>
      </x:c>
      <x:c r="F22" s="32" t="str">
        <x:v>creator_case_018</x:v>
      </x:c>
      <x:c r="G22" s="32" t="str">
        <x:v>DIY</x:v>
      </x:c>
      <x:c r="H22" s="32" t="str">
        <x:v>https://video.invalid/case/V0018</x:v>
      </x:c>
      <x:c r="I22" s="32" t="str">
        <x:v>เสื้อคลุม</x:v>
      </x:c>
      <x:c r="J22" s="32" t="str">
        <x:v>2026-07-20 18:00</x:v>
      </x:c>
      <x:c r="K22" s="32" t="n">
        <x:v>1629</x:v>
      </x:c>
      <x:c r="L22" s="32" t="n">
        <x:v>141</x:v>
      </x:c>
      <x:c r="M22" s="32" t="str">
        <x:v>Main comment</x:v>
      </x:c>
      <x:c r="N22" s="32" t="str">
        <x:v>Main comment</x:v>
      </x:c>
      <x:c r="O22" s="32" t="str">
        <x:v>เสื้อเรียบแบบนี้เป็นเบสที่แต่งสนุกมากค่ะ ถ้าเล่นลูกเล่นกระดุมดอกไม้เล็ก ๆ แบบในรูป ช่วงบนของลุคน่าจะเด่นขึ้นพอดีค่ะ</x:v>
      </x:c>
      <x:c r="P22" s="32" t="str">
        <x:v>IMG002</x:v>
      </x:c>
      <x:c r="Q22" s="32" t="str">
        <x:v>White shirt with floral fashion-button details at the collar and cuff</x:v>
      </x:c>
      <x:c r="R22" s="32" t="str">
        <x:v>Synthetic context before</x:v>
      </x:c>
      <x:c r="S22" s="32" t="str">
        <x:v>Synthetic context after</x:v>
      </x:c>
      <x:c r="T22" s="32" t="str">
        <x:v>Posted</x:v>
      </x:c>
      <x:c r="U22" s="32" t="str">
        <x:f>IFERROR(VLOOKUP(B22&amp;"|24h",'COMMENT_RECHECK'!$V$5:$Y$204,2,FALSE),"Pending")</x:f>
        <x:v>Visible</x:v>
      </x:c>
      <x:c r="V22" s="32" t="n">
        <x:v>0</x:v>
      </x:c>
      <x:c r="W22" s="32" t="str"/>
      <x:c r="X22" s="32" t="n">
        <x:v>0</x:v>
      </x:c>
      <x:c r="Y22" s="32" t="str">
        <x:v>EVD-SYN-0018-POST</x:v>
      </x:c>
      <x:c r="Z22" s="32" t="str"/>
      <x:c r="AA22" s="32" t="str">
        <x:v>Core</x:v>
      </x:c>
      <x:c r="AB22" s="32" t="str">
        <x:v>N/A</x:v>
      </x:c>
      <x:c r="AC22" s="32" t="str">
        <x:v>Neutral</x:v>
      </x:c>
      <x:c r="AD22" s="32" t="str">
        <x:v>TH</x:v>
      </x:c>
      <x:c r="AE22" s="32" t="str">
        <x:v>Yes</x:v>
      </x:c>
      <x:c r="AF22" s="32" t="str">
        <x:v>Standard</x:v>
      </x:c>
      <x:c r="AG22" s="32" t="str">
        <x:v>LIB-018</x:v>
      </x:c>
      <x:c r="AH22" s="32" t="str">
        <x:v>TH</x:v>
      </x:c>
      <x:c r="AI22" s="32" t="str">
        <x:v>Main</x:v>
      </x:c>
      <x:c r="AJ22" s="32" t="str">
        <x:v>None</x:v>
      </x:c>
      <x:c r="AK22" s="32" t="str">
        <x:v>inputs/product_images/IMG002.png</x:v>
      </x:c>
      <x:c r="AL22" s="32" t="str"/>
      <x:c r="AM22" s="32" t="str">
        <x:v>N/A</x:v>
      </x:c>
      <x:c r="AN22" s="32" t="str">
        <x:v>N/A</x:v>
      </x:c>
      <x:c r="AO22" s="32" t="str"/>
      <x:c r="AP22" s="32" t="str">
        <x:v>No</x:v>
      </x:c>
      <x:c r="AQ22" s="32" t="str">
        <x:v>Not Started</x:v>
      </x:c>
      <x:c r="AR22" s="32" t="str">
        <x:v>N/A</x:v>
      </x:c>
      <x:c r="AS22" s="32" t="str">
        <x:f>IFERROR(VLOOKUP(B22&amp;"|24h",'COMMENT_RECHECK'!$V$5:$Y$204,3,FALSE),"")</x:f>
        <x:v>None</x:v>
      </x:c>
      <x:c r="AT22" s="32" t="str">
        <x:v>[SANITIZED]</x:v>
      </x:c>
      <x:c r="AU22" s="32" t="str">
        <x:v>case_account_08</x:v>
      </x:c>
      <x:c r="AV22" s="32" t="str">
        <x:v>[SANITIZED]</x:v>
      </x:c>
      <x:c r="AW22" s="32" t="str">
        <x:v>[SANITIZED]</x:v>
      </x:c>
      <x:c r="AX22" s="32" t="str">
        <x:v>[SANITIZED]</x:v>
      </x:c>
      <x:c r="AY22" s="32" t="str">
        <x:v>Manual Simulation</x:v>
      </x:c>
      <x:c r="AZ22" s="32" t="str">
        <x:v>2026-07-20 16:59</x:v>
      </x:c>
      <x:c r="BA22" s="32" t="str">
        <x:v>2026-07-20 16:59</x:v>
      </x:c>
      <x:c r="BB22" s="32" t="str">
        <x:v>Yes</x:v>
      </x:c>
      <x:c r="BC22" s="32" t="str">
        <x:v>Yes</x:v>
      </x:c>
      <x:c r="BD22" s="32" t="str"/>
      <x:c r="BE22" s="32" t="str"/>
      <x:c r="BF22" s="32" t="str">
        <x:v>No</x:v>
      </x:c>
      <x:c r="BG22" s="32" t="str">
        <x:v>No</x:v>
      </x:c>
      <x:c r="BH22" s="32" t="n">
        <x:v>0</x:v>
      </x:c>
      <x:c r="BI22" s="32" t="str">
        <x:v>24h</x:v>
      </x:c>
      <x:c r="BJ22" s="32" t="str">
        <x:f>IFERROR(VLOOKUP(B22&amp;"|24h",'COMMENT_RECHECK'!$V$5:$Y$204,4,FALSE),"Pending")</x:f>
        <x:v>No Verified User Reply</x:v>
      </x:c>
      <x:c r="BK22" s="33" t="str">
        <x:f>IF(OR(COUNTIF($B$5:$B$104,B22)&gt;1,AND(T22="Posted",BC22&lt;&gt;"Yes"),AND(OR(BJ22="Verified User Reply",BJ22="Mixed Reply"),Y22="")),"Review","OK")</x:f>
        <x:v>OK</x:v>
      </x:c>
    </x:row>
    <x:row r="23">
      <x:c r="A23" s="49" t="n">
        <x:v>46224</x:v>
      </x:c>
      <x:c r="B23" s="32" t="str">
        <x:v>IC-0019</x:v>
      </x:c>
      <x:c r="C23" s="32" t="str">
        <x:v>Account Slot 9</x:v>
      </x:c>
      <x:c r="D23" s="32" t="str">
        <x:v>Synthetic Display 9</x:v>
      </x:c>
      <x:c r="E23" s="32" t="str">
        <x:v>17:06</x:v>
      </x:c>
      <x:c r="F23" s="32" t="str">
        <x:v>creator_case_019</x:v>
      </x:c>
      <x:c r="G23" s="32" t="str">
        <x:v>Lifestyle</x:v>
      </x:c>
      <x:c r="H23" s="32" t="str">
        <x:v>https://video.invalid/case/V0019</x:v>
      </x:c>
      <x:c r="I23" s="32" t="str">
        <x:v>การจับคู่สี</x:v>
      </x:c>
      <x:c r="J23" s="32" t="str">
        <x:v>2026-07-20 18:00</x:v>
      </x:c>
      <x:c r="K23" s="32" t="n">
        <x:v>1666</x:v>
      </x:c>
      <x:c r="L23" s="32" t="n">
        <x:v>144</x:v>
      </x:c>
      <x:c r="M23" s="32" t="str">
        <x:v>Main comment</x:v>
      </x:c>
      <x:c r="N23" s="32" t="str">
        <x:v>Main comment</x:v>
      </x:c>
      <x:c r="O23" s="32" t="str">
        <x:v>เสื้อทรงนี้ดูง่ายแต่พอแมตช์แล้วภาพรวมมีสไตล์มากค่ะ ตัวครอบกระดุมโทนมุกแบบในรูปเข้ากับลุคคลีนและไม่ทำให้ชุดดูแน่นเกินไป</x:v>
      </x:c>
      <x:c r="P23" s="32" t="str">
        <x:v>IMG002</x:v>
      </x:c>
      <x:c r="Q23" s="32" t="str">
        <x:v>White shirt with floral fashion-button details at the collar and cuff</x:v>
      </x:c>
      <x:c r="R23" s="32" t="str">
        <x:v>Synthetic context before</x:v>
      </x:c>
      <x:c r="S23" s="32" t="str">
        <x:v>Synthetic context after</x:v>
      </x:c>
      <x:c r="T23" s="32" t="str">
        <x:v>Posted</x:v>
      </x:c>
      <x:c r="U23" s="32" t="str">
        <x:f>IFERROR(VLOOKUP(B23&amp;"|24h",'COMMENT_RECHECK'!$V$5:$Y$204,2,FALSE),"Pending")</x:f>
        <x:v>Visible</x:v>
      </x:c>
      <x:c r="V23" s="32" t="n">
        <x:v>0</x:v>
      </x:c>
      <x:c r="W23" s="32" t="str"/>
      <x:c r="X23" s="32" t="n">
        <x:v>0</x:v>
      </x:c>
      <x:c r="Y23" s="32" t="str">
        <x:v>EVD-SYN-0019-POST</x:v>
      </x:c>
      <x:c r="Z23" s="32" t="str"/>
      <x:c r="AA23" s="32" t="str">
        <x:v>Core</x:v>
      </x:c>
      <x:c r="AB23" s="32" t="str">
        <x:v>N/A</x:v>
      </x:c>
      <x:c r="AC23" s="32" t="str">
        <x:v>Styled</x:v>
      </x:c>
      <x:c r="AD23" s="32" t="str">
        <x:v>TH</x:v>
      </x:c>
      <x:c r="AE23" s="32" t="str">
        <x:v>Yes</x:v>
      </x:c>
      <x:c r="AF23" s="32" t="str">
        <x:v>Standard</x:v>
      </x:c>
      <x:c r="AG23" s="32" t="str">
        <x:v>LIB-019</x:v>
      </x:c>
      <x:c r="AH23" s="32" t="str">
        <x:v>TH</x:v>
      </x:c>
      <x:c r="AI23" s="32" t="str">
        <x:v>Main</x:v>
      </x:c>
      <x:c r="AJ23" s="32" t="str">
        <x:v>Reference</x:v>
      </x:c>
      <x:c r="AK23" s="32" t="str">
        <x:v>inputs/product_images/IMG002.png</x:v>
      </x:c>
      <x:c r="AL23" s="32" t="str"/>
      <x:c r="AM23" s="32" t="str">
        <x:v>Yes</x:v>
      </x:c>
      <x:c r="AN23" s="32" t="str">
        <x:v>Complete</x:v>
      </x:c>
      <x:c r="AO23" s="32" t="str"/>
      <x:c r="AP23" s="32" t="str">
        <x:v>No</x:v>
      </x:c>
      <x:c r="AQ23" s="32" t="str">
        <x:v>Not Started</x:v>
      </x:c>
      <x:c r="AR23" s="32" t="str">
        <x:v>Fit</x:v>
      </x:c>
      <x:c r="AS23" s="32" t="str">
        <x:f>IFERROR(VLOOKUP(B23&amp;"|24h",'COMMENT_RECHECK'!$V$5:$Y$204,3,FALSE),"")</x:f>
        <x:v>None</x:v>
      </x:c>
      <x:c r="AT23" s="32" t="str">
        <x:v>[SANITIZED]</x:v>
      </x:c>
      <x:c r="AU23" s="32" t="str">
        <x:v>case_account_09</x:v>
      </x:c>
      <x:c r="AV23" s="32" t="str">
        <x:v>[SANITIZED]</x:v>
      </x:c>
      <x:c r="AW23" s="32" t="str">
        <x:v>[SANITIZED]</x:v>
      </x:c>
      <x:c r="AX23" s="32" t="str">
        <x:v>[SANITIZED]</x:v>
      </x:c>
      <x:c r="AY23" s="32" t="str">
        <x:v>Manual Simulation</x:v>
      </x:c>
      <x:c r="AZ23" s="32" t="str">
        <x:v>2026-07-20 17:06</x:v>
      </x:c>
      <x:c r="BA23" s="32" t="str">
        <x:v>2026-07-20 17:06</x:v>
      </x:c>
      <x:c r="BB23" s="32" t="str">
        <x:v>Yes</x:v>
      </x:c>
      <x:c r="BC23" s="32" t="str">
        <x:v>Yes</x:v>
      </x:c>
      <x:c r="BD23" s="32" t="str"/>
      <x:c r="BE23" s="32" t="str"/>
      <x:c r="BF23" s="32" t="str">
        <x:v>No</x:v>
      </x:c>
      <x:c r="BG23" s="32" t="str">
        <x:v>No</x:v>
      </x:c>
      <x:c r="BH23" s="32" t="n">
        <x:v>0</x:v>
      </x:c>
      <x:c r="BI23" s="32" t="str">
        <x:v>24h</x:v>
      </x:c>
      <x:c r="BJ23" s="32" t="str">
        <x:f>IFERROR(VLOOKUP(B23&amp;"|24h",'COMMENT_RECHECK'!$V$5:$Y$204,4,FALSE),"Pending")</x:f>
        <x:v>No Verified User Reply</x:v>
      </x:c>
      <x:c r="BK23" s="33" t="str">
        <x:f>IF(OR(COUNTIF($B$5:$B$104,B23)&gt;1,AND(T23="Posted",BC23&lt;&gt;"Yes"),AND(OR(BJ23="Verified User Reply",BJ23="Mixed Reply"),Y23="")),"Review","OK")</x:f>
        <x:v>OK</x:v>
      </x:c>
    </x:row>
    <x:row r="24">
      <x:c r="A24" s="49" t="n">
        <x:v>46224</x:v>
      </x:c>
      <x:c r="B24" s="32" t="str">
        <x:v>IC-0020</x:v>
      </x:c>
      <x:c r="C24" s="32" t="str">
        <x:v>Account Slot 10</x:v>
      </x:c>
      <x:c r="D24" s="32" t="str">
        <x:v>Synthetic Display 10</x:v>
      </x:c>
      <x:c r="E24" s="32" t="str">
        <x:v>18:13</x:v>
      </x:c>
      <x:c r="F24" s="32" t="str">
        <x:v>creator_case_020</x:v>
      </x:c>
      <x:c r="G24" s="32" t="str">
        <x:v>Tailoring</x:v>
      </x:c>
      <x:c r="H24" s="32" t="str">
        <x:v>https://video.invalid/case/V0020</x:v>
      </x:c>
      <x:c r="I24" s="32" t="str">
        <x:v>รีวิวงานฝีมือ</x:v>
      </x:c>
      <x:c r="J24" s="32" t="str">
        <x:v>2026-07-20 18:00</x:v>
      </x:c>
      <x:c r="K24" s="32" t="n">
        <x:v>1703</x:v>
      </x:c>
      <x:c r="L24" s="32" t="n">
        <x:v>147</x:v>
      </x:c>
      <x:c r="M24" s="32" t="str">
        <x:v>Main comment</x:v>
      </x:c>
      <x:c r="N24" s="32" t="str">
        <x:v>Main comment</x:v>
      </x:c>
      <x:c r="O24" s="32" t="str">
        <x:v>เสื้อคลุมทรงนี้ช่วยให้ชุดดูนุ่มนวลขึ้นพอดีเลย ถ้าเล่นลูกเล่นกระดุมดอกไม้เล็ก ๆ แบบในรูป ช่วงบนของลุคน่าจะเด่นขึ้นพอดีค่ะ</x:v>
      </x:c>
      <x:c r="P24" s="32" t="str">
        <x:v>IMG002</x:v>
      </x:c>
      <x:c r="Q24" s="32" t="str">
        <x:v>White shirt with floral fashion-button details at the collar and cuff</x:v>
      </x:c>
      <x:c r="R24" s="32" t="str">
        <x:v>Synthetic context before</x:v>
      </x:c>
      <x:c r="S24" s="32" t="str">
        <x:v>Synthetic context after</x:v>
      </x:c>
      <x:c r="T24" s="32" t="str">
        <x:v>Posted</x:v>
      </x:c>
      <x:c r="U24" s="32" t="str">
        <x:f>IFERROR(VLOOKUP(B24&amp;"|24h",'COMMENT_RECHECK'!$V$5:$Y$204,2,FALSE),"Pending")</x:f>
        <x:v>Visible</x:v>
      </x:c>
      <x:c r="V24" s="32" t="n">
        <x:v>0</x:v>
      </x:c>
      <x:c r="W24" s="32" t="str"/>
      <x:c r="X24" s="32" t="n">
        <x:v>0</x:v>
      </x:c>
      <x:c r="Y24" s="32" t="str">
        <x:v>EVD-SYN-0020-POST</x:v>
      </x:c>
      <x:c r="Z24" s="32" t="str"/>
      <x:c r="AA24" s="32" t="str">
        <x:v>Core</x:v>
      </x:c>
      <x:c r="AB24" s="32" t="str">
        <x:v>N/A</x:v>
      </x:c>
      <x:c r="AC24" s="32" t="str">
        <x:v>Neutral</x:v>
      </x:c>
      <x:c r="AD24" s="32" t="str">
        <x:v>TH</x:v>
      </x:c>
      <x:c r="AE24" s="32" t="str">
        <x:v>Yes</x:v>
      </x:c>
      <x:c r="AF24" s="32" t="str">
        <x:v>Standard</x:v>
      </x:c>
      <x:c r="AG24" s="32" t="str">
        <x:v>LIB-020</x:v>
      </x:c>
      <x:c r="AH24" s="32" t="str">
        <x:v>TH</x:v>
      </x:c>
      <x:c r="AI24" s="32" t="str">
        <x:v>Main</x:v>
      </x:c>
      <x:c r="AJ24" s="32" t="str">
        <x:v>None</x:v>
      </x:c>
      <x:c r="AK24" s="32" t="str">
        <x:v>inputs/product_images/IMG002.png</x:v>
      </x:c>
      <x:c r="AL24" s="32" t="str"/>
      <x:c r="AM24" s="32" t="str">
        <x:v>N/A</x:v>
      </x:c>
      <x:c r="AN24" s="32" t="str">
        <x:v>N/A</x:v>
      </x:c>
      <x:c r="AO24" s="32" t="str"/>
      <x:c r="AP24" s="32" t="str">
        <x:v>No</x:v>
      </x:c>
      <x:c r="AQ24" s="32" t="str">
        <x:v>Not Started</x:v>
      </x:c>
      <x:c r="AR24" s="32" t="str">
        <x:v>N/A</x:v>
      </x:c>
      <x:c r="AS24" s="32" t="str">
        <x:f>IFERROR(VLOOKUP(B24&amp;"|24h",'COMMENT_RECHECK'!$V$5:$Y$204,3,FALSE),"")</x:f>
        <x:v>None</x:v>
      </x:c>
      <x:c r="AT24" s="32" t="str">
        <x:v>[SANITIZED]</x:v>
      </x:c>
      <x:c r="AU24" s="32" t="str">
        <x:v>case_account_10</x:v>
      </x:c>
      <x:c r="AV24" s="32" t="str">
        <x:v>[SANITIZED]</x:v>
      </x:c>
      <x:c r="AW24" s="32" t="str">
        <x:v>[SANITIZED]</x:v>
      </x:c>
      <x:c r="AX24" s="32" t="str">
        <x:v>[SANITIZED]</x:v>
      </x:c>
      <x:c r="AY24" s="32" t="str">
        <x:v>Manual Simulation</x:v>
      </x:c>
      <x:c r="AZ24" s="32" t="str">
        <x:v>2026-07-20 18:13</x:v>
      </x:c>
      <x:c r="BA24" s="32" t="str">
        <x:v>2026-07-20 18:13</x:v>
      </x:c>
      <x:c r="BB24" s="32" t="str">
        <x:v>Yes</x:v>
      </x:c>
      <x:c r="BC24" s="32" t="str">
        <x:v>Yes</x:v>
      </x:c>
      <x:c r="BD24" s="32" t="str"/>
      <x:c r="BE24" s="32" t="str"/>
      <x:c r="BF24" s="32" t="str">
        <x:v>No</x:v>
      </x:c>
      <x:c r="BG24" s="32" t="str">
        <x:v>No</x:v>
      </x:c>
      <x:c r="BH24" s="32" t="n">
        <x:v>0</x:v>
      </x:c>
      <x:c r="BI24" s="32" t="str">
        <x:v>24h</x:v>
      </x:c>
      <x:c r="BJ24" s="32" t="str">
        <x:f>IFERROR(VLOOKUP(B24&amp;"|24h",'COMMENT_RECHECK'!$V$5:$Y$204,4,FALSE),"Pending")</x:f>
        <x:v>No Verified User Reply</x:v>
      </x:c>
      <x:c r="BK24" s="33" t="str">
        <x:f>IF(OR(COUNTIF($B$5:$B$104,B24)&gt;1,AND(T24="Posted",BC24&lt;&gt;"Yes"),AND(OR(BJ24="Verified User Reply",BJ24="Mixed Reply"),Y24="")),"Review","OK")</x:f>
        <x:v>OK</x:v>
      </x:c>
    </x:row>
    <x:row r="25">
      <x:c r="A25" s="49" t="n">
        <x:v>46224</x:v>
      </x:c>
      <x:c r="B25" s="32" t="str">
        <x:v>IC-0021</x:v>
      </x:c>
      <x:c r="C25" s="32" t="str">
        <x:v>Account Slot 1</x:v>
      </x:c>
      <x:c r="D25" s="32" t="str">
        <x:v>Synthetic Display 1</x:v>
      </x:c>
      <x:c r="E25" s="32" t="str">
        <x:v>09:20</x:v>
      </x:c>
      <x:c r="F25" s="32" t="str">
        <x:v>creator_case_021</x:v>
      </x:c>
      <x:c r="G25" s="32" t="str">
        <x:v>Fashion</x:v>
      </x:c>
      <x:c r="H25" s="32" t="str">
        <x:v>https://video.invalid/case/V0021</x:v>
      </x:c>
      <x:c r="I25" s="32" t="str">
        <x:v>เสื้อเชิ้ตทำงาน</x:v>
      </x:c>
      <x:c r="J25" s="32" t="str">
        <x:v>2026-07-20 18:00</x:v>
      </x:c>
      <x:c r="K25" s="32" t="n">
        <x:v>1740</x:v>
      </x:c>
      <x:c r="L25" s="32" t="n">
        <x:v>150</x:v>
      </x:c>
      <x:c r="M25" s="32" t="str">
        <x:v>Reply</x:v>
      </x:c>
      <x:c r="N25" s="32" t="str">
        <x:v>Synthetic parent</x:v>
      </x:c>
      <x:c r="O25" s="32" t="str">
        <x:v>เสื้อเรียบแบบนี้เป็นเบสที่แต่งสนุกมากค่ะ ลูกเล่นตรงแนวกระดุมแบบในรูปเพิ่มความหวานให้ลุคโดยยังดูสุภาพอยู่ค่ะ</x:v>
      </x:c>
      <x:c r="P25" s="32" t="str">
        <x:v>IMG002</x:v>
      </x:c>
      <x:c r="Q25" s="32" t="str">
        <x:v>White shirt with floral fashion-button details at the collar and cuff</x:v>
      </x:c>
      <x:c r="R25" s="32" t="str">
        <x:v>Synthetic context before</x:v>
      </x:c>
      <x:c r="S25" s="32" t="str">
        <x:v>Synthetic context after</x:v>
      </x:c>
      <x:c r="T25" s="32" t="str">
        <x:v>Posted</x:v>
      </x:c>
      <x:c r="U25" s="32" t="str">
        <x:f>IFERROR(VLOOKUP(B25&amp;"|24h",'COMMENT_RECHECK'!$V$5:$Y$204,2,FALSE),"Pending")</x:f>
        <x:v>Missing</x:v>
      </x:c>
      <x:c r="V25" s="32" t="n">
        <x:v>0</x:v>
      </x:c>
      <x:c r="W25" s="32" t="str"/>
      <x:c r="X25" s="32" t="n">
        <x:v>0</x:v>
      </x:c>
      <x:c r="Y25" s="32" t="str">
        <x:v>EVD-SYN-0021-POST</x:v>
      </x:c>
      <x:c r="Z25" s="32" t="str"/>
      <x:c r="AA25" s="32" t="str">
        <x:v>Core</x:v>
      </x:c>
      <x:c r="AB25" s="32" t="str">
        <x:v>N/A</x:v>
      </x:c>
      <x:c r="AC25" s="32" t="str">
        <x:v>Styled</x:v>
      </x:c>
      <x:c r="AD25" s="32" t="str">
        <x:v>TH</x:v>
      </x:c>
      <x:c r="AE25" s="32" t="str">
        <x:v>Yes</x:v>
      </x:c>
      <x:c r="AF25" s="32" t="str">
        <x:v>Standard</x:v>
      </x:c>
      <x:c r="AG25" s="32" t="str">
        <x:v>LIB-001</x:v>
      </x:c>
      <x:c r="AH25" s="32" t="str">
        <x:v>TH</x:v>
      </x:c>
      <x:c r="AI25" s="32" t="str">
        <x:v>Reply</x:v>
      </x:c>
      <x:c r="AJ25" s="32" t="str">
        <x:v>None</x:v>
      </x:c>
      <x:c r="AK25" s="32" t="str">
        <x:v>inputs/product_images/IMG002.png</x:v>
      </x:c>
      <x:c r="AL25" s="32" t="str"/>
      <x:c r="AM25" s="32" t="str">
        <x:v>N/A</x:v>
      </x:c>
      <x:c r="AN25" s="32" t="str">
        <x:v>N/A</x:v>
      </x:c>
      <x:c r="AO25" s="32" t="str"/>
      <x:c r="AP25" s="32" t="str">
        <x:v>No</x:v>
      </x:c>
      <x:c r="AQ25" s="32" t="str">
        <x:v>Not Started</x:v>
      </x:c>
      <x:c r="AR25" s="32" t="str">
        <x:v>N/A</x:v>
      </x:c>
      <x:c r="AS25" s="32" t="str">
        <x:f>IFERROR(VLOOKUP(B25&amp;"|24h",'COMMENT_RECHECK'!$V$5:$Y$204,3,FALSE),"")</x:f>
        <x:v>None</x:v>
      </x:c>
      <x:c r="AT25" s="32" t="str">
        <x:v>[SANITIZED]</x:v>
      </x:c>
      <x:c r="AU25" s="32" t="str">
        <x:v>case_account_01</x:v>
      </x:c>
      <x:c r="AV25" s="32" t="str">
        <x:v>[SANITIZED]</x:v>
      </x:c>
      <x:c r="AW25" s="32" t="str">
        <x:v>[SANITIZED]</x:v>
      </x:c>
      <x:c r="AX25" s="32" t="str">
        <x:v>[SANITIZED]</x:v>
      </x:c>
      <x:c r="AY25" s="32" t="str">
        <x:v>Manual Simulation</x:v>
      </x:c>
      <x:c r="AZ25" s="32" t="str">
        <x:v>2026-07-20 09:20</x:v>
      </x:c>
      <x:c r="BA25" s="32" t="str">
        <x:v>2026-07-20 09:20</x:v>
      </x:c>
      <x:c r="BB25" s="32" t="str">
        <x:v>Yes</x:v>
      </x:c>
      <x:c r="BC25" s="32" t="str">
        <x:v>Yes</x:v>
      </x:c>
      <x:c r="BD25" s="32" t="str"/>
      <x:c r="BE25" s="32" t="str"/>
      <x:c r="BF25" s="32" t="str">
        <x:v>No</x:v>
      </x:c>
      <x:c r="BG25" s="32" t="str">
        <x:v>No</x:v>
      </x:c>
      <x:c r="BH25" s="32" t="n">
        <x:v>0</x:v>
      </x:c>
      <x:c r="BI25" s="32" t="str">
        <x:v>24h</x:v>
      </x:c>
      <x:c r="BJ25" s="32" t="str">
        <x:f>IFERROR(VLOOKUP(B25&amp;"|24h",'COMMENT_RECHECK'!$V$5:$Y$204,4,FALSE),"Pending")</x:f>
        <x:v>No Verified User Reply</x:v>
      </x:c>
      <x:c r="BK25" s="33" t="str">
        <x:f>IF(OR(COUNTIF($B$5:$B$104,B25)&gt;1,AND(T25="Posted",BC25&lt;&gt;"Yes"),AND(OR(BJ25="Verified User Reply",BJ25="Mixed Reply"),Y25="")),"Review","OK")</x:f>
        <x:v>OK</x:v>
      </x:c>
    </x:row>
    <x:row r="26">
      <x:c r="A26" s="49" t="n">
        <x:v>46224</x:v>
      </x:c>
      <x:c r="B26" s="32" t="str">
        <x:v>IC-0022</x:v>
      </x:c>
      <x:c r="C26" s="32" t="str">
        <x:v>Account Slot 2</x:v>
      </x:c>
      <x:c r="D26" s="32" t="str">
        <x:v>Synthetic Display 2</x:v>
      </x:c>
      <x:c r="E26" s="32" t="str">
        <x:v>10:27</x:v>
      </x:c>
      <x:c r="F26" s="32" t="str">
        <x:v>creator_case_022</x:v>
      </x:c>
      <x:c r="G26" s="32" t="str">
        <x:v>DIY</x:v>
      </x:c>
      <x:c r="H26" s="32" t="str">
        <x:v>https://video.invalid/case/V0021</x:v>
      </x:c>
      <x:c r="I26" s="32" t="str">
        <x:v>แจ็กเก็ตเดนิม</x:v>
      </x:c>
      <x:c r="J26" s="32" t="str">
        <x:v>2026-07-20 18:00</x:v>
      </x:c>
      <x:c r="K26" s="32" t="n">
        <x:v>1777</x:v>
      </x:c>
      <x:c r="L26" s="32" t="n">
        <x:v>153</x:v>
      </x:c>
      <x:c r="M26" s="32" t="str">
        <x:v>Main comment</x:v>
      </x:c>
      <x:c r="N26" s="32" t="str">
        <x:v>Main comment</x:v>
      </x:c>
      <x:c r="O26" s="32" t="str">
        <x:v>ชอบการแมตช์สูทที่ดูสุภาพแต่ยังมีความแฟชั่นอยู่ค่ะ blazer ทรงนี้ถ้ามีจุดเด่นเล็กแบบในรูป น่าจะดูตั้งใจและจำง่ายขึ้นมากค่ะ</x:v>
      </x:c>
      <x:c r="P26" s="32" t="str">
        <x:v>IMG004</x:v>
      </x:c>
      <x:c r="Q26" s="32" t="str">
        <x:v>Polished black blazer look with pearl and monochrome fashion-button details</x:v>
      </x:c>
      <x:c r="R26" s="32" t="str">
        <x:v>Synthetic context before</x:v>
      </x:c>
      <x:c r="S26" s="32" t="str">
        <x:v>Synthetic context after</x:v>
      </x:c>
      <x:c r="T26" s="32" t="str">
        <x:v>Posted</x:v>
      </x:c>
      <x:c r="U26" s="32" t="str">
        <x:f>IFERROR(VLOOKUP(B26&amp;"|24h",'COMMENT_RECHECK'!$V$5:$Y$204,2,FALSE),"Pending")</x:f>
        <x:v>Visible</x:v>
      </x:c>
      <x:c r="V26" s="32" t="n">
        <x:v>1</x:v>
      </x:c>
      <x:c r="W26" s="32" t="str">
        <x:v>Synthetic reply preview</x:v>
      </x:c>
      <x:c r="X26" s="32" t="n">
        <x:v>0</x:v>
      </x:c>
      <x:c r="Y26" s="32" t="str">
        <x:v>EVD-SYN-0022-POST</x:v>
      </x:c>
      <x:c r="Z26" s="32" t="str"/>
      <x:c r="AA26" s="32" t="str">
        <x:v>Core</x:v>
      </x:c>
      <x:c r="AB26" s="32" t="str">
        <x:v>N/A</x:v>
      </x:c>
      <x:c r="AC26" s="32" t="str">
        <x:v>Neutral</x:v>
      </x:c>
      <x:c r="AD26" s="32" t="str">
        <x:v>TH</x:v>
      </x:c>
      <x:c r="AE26" s="32" t="str">
        <x:v>Yes</x:v>
      </x:c>
      <x:c r="AF26" s="32" t="str">
        <x:v>Standard</x:v>
      </x:c>
      <x:c r="AG26" s="32" t="str">
        <x:v>LIB-002</x:v>
      </x:c>
      <x:c r="AH26" s="32" t="str">
        <x:v>TH</x:v>
      </x:c>
      <x:c r="AI26" s="32" t="str">
        <x:v>Main</x:v>
      </x:c>
      <x:c r="AJ26" s="32" t="str">
        <x:v>None</x:v>
      </x:c>
      <x:c r="AK26" s="32" t="str">
        <x:v>inputs/product_images/IMG004.png</x:v>
      </x:c>
      <x:c r="AL26" s="32" t="str"/>
      <x:c r="AM26" s="32" t="str">
        <x:v>N/A</x:v>
      </x:c>
      <x:c r="AN26" s="32" t="str">
        <x:v>N/A</x:v>
      </x:c>
      <x:c r="AO26" s="32" t="str"/>
      <x:c r="AP26" s="32" t="str">
        <x:v>Potential</x:v>
      </x:c>
      <x:c r="AQ26" s="32" t="str">
        <x:v>Not Started</x:v>
      </x:c>
      <x:c r="AR26" s="32" t="str">
        <x:v>N/A</x:v>
      </x:c>
      <x:c r="AS26" s="32" t="str">
        <x:f>IFERROR(VLOOKUP(B26&amp;"|24h",'COMMENT_RECHECK'!$V$5:$Y$204,3,FALSE),"")</x:f>
        <x:v>User</x:v>
      </x:c>
      <x:c r="AT26" s="32" t="str">
        <x:v>[SANITIZED]</x:v>
      </x:c>
      <x:c r="AU26" s="32" t="str">
        <x:v>case_account_02</x:v>
      </x:c>
      <x:c r="AV26" s="32" t="str">
        <x:v>[SANITIZED]</x:v>
      </x:c>
      <x:c r="AW26" s="32" t="str">
        <x:v>[SANITIZED]</x:v>
      </x:c>
      <x:c r="AX26" s="32" t="str">
        <x:v>[SANITIZED]</x:v>
      </x:c>
      <x:c r="AY26" s="32" t="str">
        <x:v>Manual Simulation</x:v>
      </x:c>
      <x:c r="AZ26" s="32" t="str">
        <x:v>2026-07-20 10:27</x:v>
      </x:c>
      <x:c r="BA26" s="32" t="str">
        <x:v>2026-07-20 10:27</x:v>
      </x:c>
      <x:c r="BB26" s="32" t="str">
        <x:v>Yes</x:v>
      </x:c>
      <x:c r="BC26" s="32" t="str">
        <x:v>Yes</x:v>
      </x:c>
      <x:c r="BD26" s="32" t="str"/>
      <x:c r="BE26" s="32" t="str"/>
      <x:c r="BF26" s="32" t="str">
        <x:v>No</x:v>
      </x:c>
      <x:c r="BG26" s="32" t="str">
        <x:v>No</x:v>
      </x:c>
      <x:c r="BH26" s="32" t="n">
        <x:v>0</x:v>
      </x:c>
      <x:c r="BI26" s="32" t="str">
        <x:v>24h</x:v>
      </x:c>
      <x:c r="BJ26" s="32" t="str">
        <x:f>IFERROR(VLOOKUP(B26&amp;"|24h",'COMMENT_RECHECK'!$V$5:$Y$204,4,FALSE),"Pending")</x:f>
        <x:v>Verified User Reply</x:v>
      </x:c>
      <x:c r="BK26" s="33" t="str">
        <x:f>IF(OR(COUNTIF($B$5:$B$104,B26)&gt;1,AND(T26="Posted",BC26&lt;&gt;"Yes"),AND(OR(BJ26="Verified User Reply",BJ26="Mixed Reply"),Y26="")),"Review","OK")</x:f>
        <x:v>OK</x:v>
      </x:c>
    </x:row>
    <x:row r="27">
      <x:c r="A27" s="49" t="n">
        <x:v>46224</x:v>
      </x:c>
      <x:c r="B27" s="32" t="str">
        <x:v>IC-0023</x:v>
      </x:c>
      <x:c r="C27" s="32" t="str">
        <x:v>Account Slot 3</x:v>
      </x:c>
      <x:c r="D27" s="32" t="str">
        <x:v>Synthetic Display 3</x:v>
      </x:c>
      <x:c r="E27" s="32" t="str">
        <x:v>11:34</x:v>
      </x:c>
      <x:c r="F27" s="32" t="str">
        <x:v>creator_case_023</x:v>
      </x:c>
      <x:c r="G27" s="32" t="str">
        <x:v>Lifestyle</x:v>
      </x:c>
      <x:c r="H27" s="32" t="str">
        <x:v>https://video.invalid/case/V0023</x:v>
      </x:c>
      <x:c r="I27" s="32" t="str">
        <x:v>เดรสออกงาน</x:v>
      </x:c>
      <x:c r="J27" s="32" t="str">
        <x:v>2026-07-20 18:00</x:v>
      </x:c>
      <x:c r="K27" s="32" t="n">
        <x:v>1814</x:v>
      </x:c>
      <x:c r="L27" s="32" t="n">
        <x:v>156</x:v>
      </x:c>
      <x:c r="M27" s="32" t="str">
        <x:v>Main comment</x:v>
      </x:c>
      <x:c r="N27" s="32" t="str">
        <x:v>Main comment</x:v>
      </x:c>
      <x:c r="O27" s="32" t="str">
        <x:v>มู้ดของลุคนี้ดูสุภาพแต่ไม่ทำให้ชุดน่าเบื่อเลย พอมีตัวครอบกระดุมชิ้นเล็กแบบในรูป ช่วงคอกับข้อมือก็ดูตั้งใจขึ้นทันที</x:v>
      </x:c>
      <x:c r="P27" s="32" t="str">
        <x:v>IMG002</x:v>
      </x:c>
      <x:c r="Q27" s="32" t="str">
        <x:v>White shirt with floral fashion-button details at the collar and cuff</x:v>
      </x:c>
      <x:c r="R27" s="32" t="str">
        <x:v>Synthetic context before</x:v>
      </x:c>
      <x:c r="S27" s="32" t="str">
        <x:v>Synthetic context after</x:v>
      </x:c>
      <x:c r="T27" s="32" t="str">
        <x:v>Posted</x:v>
      </x:c>
      <x:c r="U27" s="32" t="str">
        <x:f>IFERROR(VLOOKUP(B27&amp;"|24h",'COMMENT_RECHECK'!$V$5:$Y$204,2,FALSE),"Pending")</x:f>
        <x:v>Visible</x:v>
      </x:c>
      <x:c r="V27" s="32" t="n">
        <x:v>1</x:v>
      </x:c>
      <x:c r="W27" s="32" t="str">
        <x:v>Synthetic reply preview</x:v>
      </x:c>
      <x:c r="X27" s="32" t="n">
        <x:v>0</x:v>
      </x:c>
      <x:c r="Y27" s="32" t="str">
        <x:v>EVD-SYN-0023-POST</x:v>
      </x:c>
      <x:c r="Z27" s="32" t="str"/>
      <x:c r="AA27" s="32" t="str">
        <x:v>Core</x:v>
      </x:c>
      <x:c r="AB27" s="32" t="str">
        <x:v>N/A</x:v>
      </x:c>
      <x:c r="AC27" s="32" t="str">
        <x:v>Styled</x:v>
      </x:c>
      <x:c r="AD27" s="32" t="str">
        <x:v>TH</x:v>
      </x:c>
      <x:c r="AE27" s="32" t="str">
        <x:v>Yes</x:v>
      </x:c>
      <x:c r="AF27" s="32" t="str">
        <x:v>Standard</x:v>
      </x:c>
      <x:c r="AG27" s="32" t="str">
        <x:v>LIB-003</x:v>
      </x:c>
      <x:c r="AH27" s="32" t="str">
        <x:v>TH</x:v>
      </x:c>
      <x:c r="AI27" s="32" t="str">
        <x:v>Main</x:v>
      </x:c>
      <x:c r="AJ27" s="32" t="str">
        <x:v>None</x:v>
      </x:c>
      <x:c r="AK27" s="32" t="str">
        <x:v>inputs/product_images/IMG002.png</x:v>
      </x:c>
      <x:c r="AL27" s="32" t="str"/>
      <x:c r="AM27" s="32" t="str">
        <x:v>N/A</x:v>
      </x:c>
      <x:c r="AN27" s="32" t="str">
        <x:v>N/A</x:v>
      </x:c>
      <x:c r="AO27" s="32" t="str"/>
      <x:c r="AP27" s="32" t="str">
        <x:v>No</x:v>
      </x:c>
      <x:c r="AQ27" s="32" t="str">
        <x:v>Not Started</x:v>
      </x:c>
      <x:c r="AR27" s="32" t="str">
        <x:v>N/A</x:v>
      </x:c>
      <x:c r="AS27" s="32" t="str">
        <x:f>IFERROR(VLOOKUP(B27&amp;"|24h",'COMMENT_RECHECK'!$V$5:$Y$204,3,FALSE),"")</x:f>
        <x:v>Creator</x:v>
      </x:c>
      <x:c r="AT27" s="32" t="str">
        <x:v>[SANITIZED]</x:v>
      </x:c>
      <x:c r="AU27" s="32" t="str">
        <x:v>case_account_03</x:v>
      </x:c>
      <x:c r="AV27" s="32" t="str">
        <x:v>[SANITIZED]</x:v>
      </x:c>
      <x:c r="AW27" s="32" t="str">
        <x:v>[SANITIZED]</x:v>
      </x:c>
      <x:c r="AX27" s="32" t="str">
        <x:v>[SANITIZED]</x:v>
      </x:c>
      <x:c r="AY27" s="32" t="str">
        <x:v>Manual Simulation</x:v>
      </x:c>
      <x:c r="AZ27" s="32" t="str">
        <x:v>2026-07-20 11:34</x:v>
      </x:c>
      <x:c r="BA27" s="32" t="str">
        <x:v>2026-07-20 11:34</x:v>
      </x:c>
      <x:c r="BB27" s="32" t="str">
        <x:v>Yes</x:v>
      </x:c>
      <x:c r="BC27" s="32" t="str">
        <x:v>Yes</x:v>
      </x:c>
      <x:c r="BD27" s="32" t="str"/>
      <x:c r="BE27" s="32" t="str"/>
      <x:c r="BF27" s="32" t="str">
        <x:v>No</x:v>
      </x:c>
      <x:c r="BG27" s="32" t="str">
        <x:v>No</x:v>
      </x:c>
      <x:c r="BH27" s="32" t="n">
        <x:v>0</x:v>
      </x:c>
      <x:c r="BI27" s="32" t="str">
        <x:v>24h</x:v>
      </x:c>
      <x:c r="BJ27" s="32" t="str">
        <x:f>IFERROR(VLOOKUP(B27&amp;"|24h",'COMMENT_RECHECK'!$V$5:$Y$204,4,FALSE),"Pending")</x:f>
        <x:v>No Verified User Reply</x:v>
      </x:c>
      <x:c r="BK27" s="33" t="str">
        <x:f>IF(OR(COUNTIF($B$5:$B$104,B27)&gt;1,AND(T27="Posted",BC27&lt;&gt;"Yes"),AND(OR(BJ27="Verified User Reply",BJ27="Mixed Reply"),Y27="")),"Review","OK")</x:f>
        <x:v>OK</x:v>
      </x:c>
    </x:row>
    <x:row r="28">
      <x:c r="A28" s="49" t="n">
        <x:v>46224</x:v>
      </x:c>
      <x:c r="B28" s="32" t="str">
        <x:v>IC-0024</x:v>
      </x:c>
      <x:c r="C28" s="32" t="str">
        <x:v>Account Slot 4</x:v>
      </x:c>
      <x:c r="D28" s="32" t="str">
        <x:v>Synthetic Display 4</x:v>
      </x:c>
      <x:c r="E28" s="32" t="str">
        <x:v>12:41</x:v>
      </x:c>
      <x:c r="F28" s="32" t="str">
        <x:v>creator_case_024</x:v>
      </x:c>
      <x:c r="G28" s="32" t="str">
        <x:v>Tailoring</x:v>
      </x:c>
      <x:c r="H28" s="32" t="str">
        <x:v>https://video.invalid/case/V0024</x:v>
      </x:c>
      <x:c r="I28" s="32" t="str">
        <x:v>งานเย็บ DIY</x:v>
      </x:c>
      <x:c r="J28" s="32" t="str">
        <x:v>2026-07-20 18:00</x:v>
      </x:c>
      <x:c r="K28" s="32" t="n">
        <x:v>1851</x:v>
      </x:c>
      <x:c r="L28" s="32" t="n">
        <x:v>159</x:v>
      </x:c>
      <x:c r="M28" s="32" t="str">
        <x:v>Main comment</x:v>
      </x:c>
      <x:c r="N28" s="32" t="str">
        <x:v>Main comment</x:v>
      </x:c>
      <x:c r="O28" s="32" t="str">
        <x:v>ลุคทำงานนี้ดูสุภาพและใช้งานจริงได้มากค่ะ ถ้าอยากเปลี่ยนฟีลเสื้อตัวเดิม ลองเติมตัวครอบกระดุมตรงคอหรือปลายแขนแบบในรูปดูค่ะ</x:v>
      </x:c>
      <x:c r="P28" s="32" t="str">
        <x:v>IMG002</x:v>
      </x:c>
      <x:c r="Q28" s="32" t="str">
        <x:v>White shirt with floral fashion-button details at the collar and cuff</x:v>
      </x:c>
      <x:c r="R28" s="32" t="str">
        <x:v>Synthetic context before</x:v>
      </x:c>
      <x:c r="S28" s="32" t="str">
        <x:v>Synthetic context after</x:v>
      </x:c>
      <x:c r="T28" s="32" t="str">
        <x:v>Posted</x:v>
      </x:c>
      <x:c r="U28" s="32" t="str">
        <x:f>IFERROR(VLOOKUP(B28&amp;"|24h",'COMMENT_RECHECK'!$V$5:$Y$204,2,FALSE),"Pending")</x:f>
        <x:v>Visible</x:v>
      </x:c>
      <x:c r="V28" s="32" t="n">
        <x:v>0</x:v>
      </x:c>
      <x:c r="W28" s="32" t="str"/>
      <x:c r="X28" s="32" t="n">
        <x:v>0</x:v>
      </x:c>
      <x:c r="Y28" s="32" t="str">
        <x:v>EVD-SYN-0024-POST</x:v>
      </x:c>
      <x:c r="Z28" s="32" t="str"/>
      <x:c r="AA28" s="32" t="str">
        <x:v>Core</x:v>
      </x:c>
      <x:c r="AB28" s="32" t="str">
        <x:v>N/A</x:v>
      </x:c>
      <x:c r="AC28" s="32" t="str">
        <x:v>Neutral</x:v>
      </x:c>
      <x:c r="AD28" s="32" t="str">
        <x:v>TH</x:v>
      </x:c>
      <x:c r="AE28" s="32" t="str">
        <x:v>Yes</x:v>
      </x:c>
      <x:c r="AF28" s="32" t="str">
        <x:v>Standard</x:v>
      </x:c>
      <x:c r="AG28" s="32" t="str">
        <x:v>LIB-004</x:v>
      </x:c>
      <x:c r="AH28" s="32" t="str">
        <x:v>TH</x:v>
      </x:c>
      <x:c r="AI28" s="32" t="str">
        <x:v>Main</x:v>
      </x:c>
      <x:c r="AJ28" s="32" t="str">
        <x:v>None</x:v>
      </x:c>
      <x:c r="AK28" s="32" t="str">
        <x:v>inputs/product_images/IMG002.png</x:v>
      </x:c>
      <x:c r="AL28" s="32" t="str"/>
      <x:c r="AM28" s="32" t="str">
        <x:v>N/A</x:v>
      </x:c>
      <x:c r="AN28" s="32" t="str">
        <x:v>N/A</x:v>
      </x:c>
      <x:c r="AO28" s="32" t="str"/>
      <x:c r="AP28" s="32" t="str">
        <x:v>No</x:v>
      </x:c>
      <x:c r="AQ28" s="32" t="str">
        <x:v>Not Started</x:v>
      </x:c>
      <x:c r="AR28" s="32" t="str">
        <x:v>N/A</x:v>
      </x:c>
      <x:c r="AS28" s="32" t="str">
        <x:f>IFERROR(VLOOKUP(B28&amp;"|24h",'COMMENT_RECHECK'!$V$5:$Y$204,3,FALSE),"")</x:f>
        <x:v>None</x:v>
      </x:c>
      <x:c r="AT28" s="32" t="str">
        <x:v>[SANITIZED]</x:v>
      </x:c>
      <x:c r="AU28" s="32" t="str">
        <x:v>case_account_04</x:v>
      </x:c>
      <x:c r="AV28" s="32" t="str">
        <x:v>[SANITIZED]</x:v>
      </x:c>
      <x:c r="AW28" s="32" t="str">
        <x:v>[SANITIZED]</x:v>
      </x:c>
      <x:c r="AX28" s="32" t="str">
        <x:v>[SANITIZED]</x:v>
      </x:c>
      <x:c r="AY28" s="32" t="str">
        <x:v>Manual Simulation</x:v>
      </x:c>
      <x:c r="AZ28" s="32" t="str">
        <x:v>2026-07-20 12:41</x:v>
      </x:c>
      <x:c r="BA28" s="32" t="str">
        <x:v>2026-07-20 12:41</x:v>
      </x:c>
      <x:c r="BB28" s="32" t="str">
        <x:v>Yes</x:v>
      </x:c>
      <x:c r="BC28" s="32" t="str">
        <x:v>Yes</x:v>
      </x:c>
      <x:c r="BD28" s="32" t="str"/>
      <x:c r="BE28" s="32" t="str"/>
      <x:c r="BF28" s="32" t="str">
        <x:v>No</x:v>
      </x:c>
      <x:c r="BG28" s="32" t="str">
        <x:v>No</x:v>
      </x:c>
      <x:c r="BH28" s="32" t="n">
        <x:v>0</x:v>
      </x:c>
      <x:c r="BI28" s="32" t="str">
        <x:v>24h</x:v>
      </x:c>
      <x:c r="BJ28" s="32" t="str">
        <x:f>IFERROR(VLOOKUP(B28&amp;"|24h",'COMMENT_RECHECK'!$V$5:$Y$204,4,FALSE),"Pending")</x:f>
        <x:v>No Verified User Reply</x:v>
      </x:c>
      <x:c r="BK28" s="33" t="str">
        <x:f>IF(OR(COUNTIF($B$5:$B$104,B28)&gt;1,AND(T28="Posted",BC28&lt;&gt;"Yes"),AND(OR(BJ28="Verified User Reply",BJ28="Mixed Reply"),Y28="")),"Review","OK")</x:f>
        <x:v>OK</x:v>
      </x:c>
    </x:row>
    <x:row r="29">
      <x:c r="A29" s="49" t="n">
        <x:v>46224</x:v>
      </x:c>
      <x:c r="B29" s="32" t="str">
        <x:v>IC-0025</x:v>
      </x:c>
      <x:c r="C29" s="32" t="str">
        <x:v>Account Slot 5</x:v>
      </x:c>
      <x:c r="D29" s="32" t="str">
        <x:v>Synthetic Display 5</x:v>
      </x:c>
      <x:c r="E29" s="32" t="str">
        <x:v>13:48</x:v>
      </x:c>
      <x:c r="F29" s="32" t="str">
        <x:v>creator_case_025</x:v>
      </x:c>
      <x:c r="G29" s="32" t="str">
        <x:v>Fashion</x:v>
      </x:c>
      <x:c r="H29" s="32" t="str">
        <x:v>https://video.invalid/case/V0025</x:v>
      </x:c>
      <x:c r="I29" s="32" t="str">
        <x:v>การซ่อมเสื้อ</x:v>
      </x:c>
      <x:c r="J29" s="32" t="str">
        <x:v>2026-07-20 18:00</x:v>
      </x:c>
      <x:c r="K29" s="32" t="n">
        <x:v>1888</x:v>
      </x:c>
      <x:c r="L29" s="32" t="n">
        <x:v>162</x:v>
      </x:c>
      <x:c r="M29" s="32" t="str">
        <x:v>Reply</x:v>
      </x:c>
      <x:c r="N29" s="32" t="str">
        <x:v>Synthetic parent</x:v>
      </x:c>
      <x:c r="O29" s="32" t="str">
        <x:v>เชิ้ตตัวนี้ให้มู้ดสุภาพแต่ยังดูทันสมัยอยู่ค่ะ ตัวครอบกระดุมโทนมุกแบบในรูปเข้ากับลุคคลีนและไม่ทำให้ชุดดูแน่นเกินไป</x:v>
      </x:c>
      <x:c r="P29" s="32" t="str">
        <x:v>IMG002</x:v>
      </x:c>
      <x:c r="Q29" s="32" t="str">
        <x:v>White shirt with floral fashion-button details at the collar and cuff</x:v>
      </x:c>
      <x:c r="R29" s="32" t="str">
        <x:v>Synthetic context before</x:v>
      </x:c>
      <x:c r="S29" s="32" t="str">
        <x:v>Synthetic context after</x:v>
      </x:c>
      <x:c r="T29" s="32" t="str">
        <x:v>Posted</x:v>
      </x:c>
      <x:c r="U29" s="32" t="str">
        <x:f>IFERROR(VLOOKUP(B29&amp;"|24h",'COMMENT_RECHECK'!$V$5:$Y$204,2,FALSE),"Pending")</x:f>
        <x:v>Visible</x:v>
      </x:c>
      <x:c r="V29" s="32" t="n">
        <x:v>0</x:v>
      </x:c>
      <x:c r="W29" s="32" t="str"/>
      <x:c r="X29" s="32" t="n">
        <x:v>0</x:v>
      </x:c>
      <x:c r="Y29" s="32" t="str">
        <x:v>EVD-SYN-0025-POST</x:v>
      </x:c>
      <x:c r="Z29" s="32" t="str"/>
      <x:c r="AA29" s="32" t="str">
        <x:v>Core</x:v>
      </x:c>
      <x:c r="AB29" s="32" t="str">
        <x:v>N/A</x:v>
      </x:c>
      <x:c r="AC29" s="32" t="str">
        <x:v>Styled</x:v>
      </x:c>
      <x:c r="AD29" s="32" t="str">
        <x:v>TH</x:v>
      </x:c>
      <x:c r="AE29" s="32" t="str">
        <x:v>Yes</x:v>
      </x:c>
      <x:c r="AF29" s="32" t="str">
        <x:v>Standard</x:v>
      </x:c>
      <x:c r="AG29" s="32" t="str">
        <x:v>LIB-005</x:v>
      </x:c>
      <x:c r="AH29" s="32" t="str">
        <x:v>TH</x:v>
      </x:c>
      <x:c r="AI29" s="32" t="str">
        <x:v>Reply</x:v>
      </x:c>
      <x:c r="AJ29" s="32" t="str">
        <x:v>Reference</x:v>
      </x:c>
      <x:c r="AK29" s="32" t="str">
        <x:v>inputs/product_images/IMG002.png</x:v>
      </x:c>
      <x:c r="AL29" s="32" t="str"/>
      <x:c r="AM29" s="32" t="str">
        <x:v>Yes</x:v>
      </x:c>
      <x:c r="AN29" s="32" t="str">
        <x:v>Complete</x:v>
      </x:c>
      <x:c r="AO29" s="32" t="str"/>
      <x:c r="AP29" s="32" t="str">
        <x:v>No</x:v>
      </x:c>
      <x:c r="AQ29" s="32" t="str">
        <x:v>Not Started</x:v>
      </x:c>
      <x:c r="AR29" s="32" t="str">
        <x:v>Fit</x:v>
      </x:c>
      <x:c r="AS29" s="32" t="str">
        <x:f>IFERROR(VLOOKUP(B29&amp;"|24h",'COMMENT_RECHECK'!$V$5:$Y$204,3,FALSE),"")</x:f>
        <x:v>None</x:v>
      </x:c>
      <x:c r="AT29" s="32" t="str">
        <x:v>[SANITIZED]</x:v>
      </x:c>
      <x:c r="AU29" s="32" t="str">
        <x:v>case_account_05</x:v>
      </x:c>
      <x:c r="AV29" s="32" t="str">
        <x:v>[SANITIZED]</x:v>
      </x:c>
      <x:c r="AW29" s="32" t="str">
        <x:v>[SANITIZED]</x:v>
      </x:c>
      <x:c r="AX29" s="32" t="str">
        <x:v>[SANITIZED]</x:v>
      </x:c>
      <x:c r="AY29" s="32" t="str">
        <x:v>Manual Simulation</x:v>
      </x:c>
      <x:c r="AZ29" s="32" t="str">
        <x:v>2026-07-20 13:48</x:v>
      </x:c>
      <x:c r="BA29" s="32" t="str">
        <x:v>2026-07-20 13:48</x:v>
      </x:c>
      <x:c r="BB29" s="32" t="str">
        <x:v>Yes</x:v>
      </x:c>
      <x:c r="BC29" s="32" t="str">
        <x:v>Yes</x:v>
      </x:c>
      <x:c r="BD29" s="32" t="str"/>
      <x:c r="BE29" s="32" t="str"/>
      <x:c r="BF29" s="32" t="str">
        <x:v>No</x:v>
      </x:c>
      <x:c r="BG29" s="32" t="str">
        <x:v>No</x:v>
      </x:c>
      <x:c r="BH29" s="32" t="n">
        <x:v>0</x:v>
      </x:c>
      <x:c r="BI29" s="32" t="str">
        <x:v>24h</x:v>
      </x:c>
      <x:c r="BJ29" s="32" t="str">
        <x:f>IFERROR(VLOOKUP(B29&amp;"|24h",'COMMENT_RECHECK'!$V$5:$Y$204,4,FALSE),"Pending")</x:f>
        <x:v>No Verified User Reply</x:v>
      </x:c>
      <x:c r="BK29" s="33" t="str">
        <x:f>IF(OR(COUNTIF($B$5:$B$104,B29)&gt;1,AND(T29="Posted",BC29&lt;&gt;"Yes"),AND(OR(BJ29="Verified User Reply",BJ29="Mixed Reply"),Y29="")),"Review","OK")</x:f>
        <x:v>OK</x:v>
      </x:c>
    </x:row>
    <x:row r="30">
      <x:c r="A30" s="49" t="n">
        <x:v>46225</x:v>
      </x:c>
      <x:c r="B30" s="32" t="str">
        <x:v>IC-0026</x:v>
      </x:c>
      <x:c r="C30" s="32" t="str">
        <x:v>Account Slot 6</x:v>
      </x:c>
      <x:c r="D30" s="32" t="str">
        <x:v>Synthetic Display 6</x:v>
      </x:c>
      <x:c r="E30" s="32" t="str">
        <x:v>14:55</x:v>
      </x:c>
      <x:c r="F30" s="32" t="str">
        <x:v>creator_case_026</x:v>
      </x:c>
      <x:c r="G30" s="32" t="str">
        <x:v>DIY</x:v>
      </x:c>
      <x:c r="H30" s="32" t="str">
        <x:v>https://video.invalid/case/V0026</x:v>
      </x:c>
      <x:c r="I30" s="32" t="str">
        <x:v>แฟชั่นวินเทจ</x:v>
      </x:c>
      <x:c r="J30" s="32" t="str">
        <x:v>2026-07-20 18:00</x:v>
      </x:c>
      <x:c r="K30" s="32" t="n">
        <x:v>1925</x:v>
      </x:c>
      <x:c r="L30" s="32" t="n">
        <x:v>165</x:v>
      </x:c>
      <x:c r="M30" s="32" t="str">
        <x:v>Main comment</x:v>
      </x:c>
      <x:c r="N30" s="32" t="str">
        <x:v>Main comment</x:v>
      </x:c>
      <x:c r="O30" s="32" t="str">
        <x:v>ชอบลุคเลเยอร์ที่ดูอบอุ่นแต่ไม่หนักเกินไปค่ะ ลุคนี้ลองเพิ่มดีเทลโทนมุกแบบในรูปเพียงหนึ่งถึงสองจุดก็น่าจะน่ารักขึ้นมาก</x:v>
      </x:c>
      <x:c r="P30" s="32" t="str">
        <x:v>IMG002</x:v>
      </x:c>
      <x:c r="Q30" s="32" t="str">
        <x:v>White shirt with floral fashion-button details at the collar and cuff</x:v>
      </x:c>
      <x:c r="R30" s="32" t="str">
        <x:v>Synthetic context before</x:v>
      </x:c>
      <x:c r="S30" s="32" t="str">
        <x:v>Synthetic context after</x:v>
      </x:c>
      <x:c r="T30" s="32" t="str">
        <x:v>Posted</x:v>
      </x:c>
      <x:c r="U30" s="32" t="str">
        <x:f>IFERROR(VLOOKUP(B30&amp;"|24h",'COMMENT_RECHECK'!$V$5:$Y$204,2,FALSE),"Pending")</x:f>
        <x:v>Missing</x:v>
      </x:c>
      <x:c r="V30" s="32" t="n">
        <x:v>0</x:v>
      </x:c>
      <x:c r="W30" s="32" t="str"/>
      <x:c r="X30" s="32" t="n">
        <x:v>0</x:v>
      </x:c>
      <x:c r="Y30" s="32" t="str">
        <x:v>EVD-SYN-0026-POST</x:v>
      </x:c>
      <x:c r="Z30" s="32" t="str"/>
      <x:c r="AA30" s="32" t="str">
        <x:v>Core</x:v>
      </x:c>
      <x:c r="AB30" s="32" t="str">
        <x:v>N/A</x:v>
      </x:c>
      <x:c r="AC30" s="32" t="str">
        <x:v>Neutral</x:v>
      </x:c>
      <x:c r="AD30" s="32" t="str">
        <x:v>TH</x:v>
      </x:c>
      <x:c r="AE30" s="32" t="str">
        <x:v>Yes</x:v>
      </x:c>
      <x:c r="AF30" s="32" t="str">
        <x:v>Standard</x:v>
      </x:c>
      <x:c r="AG30" s="32" t="str">
        <x:v>LIB-006</x:v>
      </x:c>
      <x:c r="AH30" s="32" t="str">
        <x:v>TH</x:v>
      </x:c>
      <x:c r="AI30" s="32" t="str">
        <x:v>Main</x:v>
      </x:c>
      <x:c r="AJ30" s="32" t="str">
        <x:v>None</x:v>
      </x:c>
      <x:c r="AK30" s="32" t="str">
        <x:v>inputs/product_images/IMG002.png</x:v>
      </x:c>
      <x:c r="AL30" s="32" t="str"/>
      <x:c r="AM30" s="32" t="str">
        <x:v>N/A</x:v>
      </x:c>
      <x:c r="AN30" s="32" t="str">
        <x:v>N/A</x:v>
      </x:c>
      <x:c r="AO30" s="32" t="str"/>
      <x:c r="AP30" s="32" t="str">
        <x:v>No</x:v>
      </x:c>
      <x:c r="AQ30" s="32" t="str">
        <x:v>Not Started</x:v>
      </x:c>
      <x:c r="AR30" s="32" t="str">
        <x:v>N/A</x:v>
      </x:c>
      <x:c r="AS30" s="32" t="str">
        <x:f>IFERROR(VLOOKUP(B30&amp;"|24h",'COMMENT_RECHECK'!$V$5:$Y$204,3,FALSE),"")</x:f>
        <x:v>None</x:v>
      </x:c>
      <x:c r="AT30" s="32" t="str">
        <x:v>[SANITIZED]</x:v>
      </x:c>
      <x:c r="AU30" s="32" t="str">
        <x:v>case_account_06</x:v>
      </x:c>
      <x:c r="AV30" s="32" t="str">
        <x:v>[SANITIZED]</x:v>
      </x:c>
      <x:c r="AW30" s="32" t="str">
        <x:v>[SANITIZED]</x:v>
      </x:c>
      <x:c r="AX30" s="32" t="str">
        <x:v>[SANITIZED]</x:v>
      </x:c>
      <x:c r="AY30" s="32" t="str">
        <x:v>Manual Simulation</x:v>
      </x:c>
      <x:c r="AZ30" s="32" t="str">
        <x:v>2026-07-21 14:55</x:v>
      </x:c>
      <x:c r="BA30" s="32" t="str">
        <x:v>2026-07-21 14:55</x:v>
      </x:c>
      <x:c r="BB30" s="32" t="str">
        <x:v>Yes</x:v>
      </x:c>
      <x:c r="BC30" s="32" t="str">
        <x:v>Yes</x:v>
      </x:c>
      <x:c r="BD30" s="32" t="str"/>
      <x:c r="BE30" s="32" t="str"/>
      <x:c r="BF30" s="32" t="str">
        <x:v>No</x:v>
      </x:c>
      <x:c r="BG30" s="32" t="str">
        <x:v>No</x:v>
      </x:c>
      <x:c r="BH30" s="32" t="n">
        <x:v>0</x:v>
      </x:c>
      <x:c r="BI30" s="32" t="str">
        <x:v>24h</x:v>
      </x:c>
      <x:c r="BJ30" s="32" t="str">
        <x:f>IFERROR(VLOOKUP(B30&amp;"|24h",'COMMENT_RECHECK'!$V$5:$Y$204,4,FALSE),"Pending")</x:f>
        <x:v>No Verified User Reply</x:v>
      </x:c>
      <x:c r="BK30" s="33" t="str">
        <x:f>IF(OR(COUNTIF($B$5:$B$104,B30)&gt;1,AND(T30="Posted",BC30&lt;&gt;"Yes"),AND(OR(BJ30="Verified User Reply",BJ30="Mixed Reply"),Y30="")),"Review","OK")</x:f>
        <x:v>OK</x:v>
      </x:c>
    </x:row>
    <x:row r="31">
      <x:c r="A31" s="49" t="n">
        <x:v>46225</x:v>
      </x:c>
      <x:c r="B31" s="32" t="str">
        <x:v>IC-0027</x:v>
      </x:c>
      <x:c r="C31" s="32" t="str">
        <x:v>Account Slot 7</x:v>
      </x:c>
      <x:c r="D31" s="32" t="str">
        <x:v>Synthetic Display 7</x:v>
      </x:c>
      <x:c r="E31" s="32" t="str">
        <x:v>15:02</x:v>
      </x:c>
      <x:c r="F31" s="32" t="str">
        <x:v>creator_case_027</x:v>
      </x:c>
      <x:c r="G31" s="32" t="str">
        <x:v>Lifestyle</x:v>
      </x:c>
      <x:c r="H31" s="32" t="str">
        <x:v>https://video.invalid/case/V0027</x:v>
      </x:c>
      <x:c r="I31" s="32" t="str">
        <x:v>เสื้อเด็ก</x:v>
      </x:c>
      <x:c r="J31" s="32" t="str">
        <x:v>2026-07-20 18:00</x:v>
      </x:c>
      <x:c r="K31" s="32" t="n">
        <x:v>1962</x:v>
      </x:c>
      <x:c r="L31" s="32" t="n">
        <x:v>168</x:v>
      </x:c>
      <x:c r="M31" s="32" t="str">
        <x:v>Main comment</x:v>
      </x:c>
      <x:c r="N31" s="32" t="str">
        <x:v>Main comment</x:v>
      </x:c>
      <x:c r="O31" s="32" t="str">
        <x:v>ร้านเราถูกที่สุด รับประกันไม่พัง 100% ทักด่วน</x:v>
      </x:c>
      <x:c r="P31" s="32" t="str">
        <x:v>IMG002</x:v>
      </x:c>
      <x:c r="Q31" s="32" t="str">
        <x:v>White shirt with floral fashion-button details at the collar and cuff</x:v>
      </x:c>
      <x:c r="R31" s="32" t="str">
        <x:v>Synthetic context before</x:v>
      </x:c>
      <x:c r="S31" s="32" t="str">
        <x:v>Synthetic context after</x:v>
      </x:c>
      <x:c r="T31" s="32" t="str">
        <x:v>Posted</x:v>
      </x:c>
      <x:c r="U31" s="32" t="str">
        <x:f>IFERROR(VLOOKUP(B31&amp;"|24h",'COMMENT_RECHECK'!$V$5:$Y$204,2,FALSE),"Pending")</x:f>
        <x:v>Visible</x:v>
      </x:c>
      <x:c r="V31" s="32" t="n">
        <x:v>2</x:v>
      </x:c>
      <x:c r="W31" s="32" t="str">
        <x:v>Synthetic reply preview</x:v>
      </x:c>
      <x:c r="X31" s="32" t="n">
        <x:v>0</x:v>
      </x:c>
      <x:c r="Y31" s="32" t="str">
        <x:v>EVD-SYN-0027-POST</x:v>
      </x:c>
      <x:c r="Z31" s="32" t="str"/>
      <x:c r="AA31" s="32" t="str">
        <x:v>Core</x:v>
      </x:c>
      <x:c r="AB31" s="32" t="str">
        <x:v>N/A</x:v>
      </x:c>
      <x:c r="AC31" s="32" t="str">
        <x:v>Styled</x:v>
      </x:c>
      <x:c r="AD31" s="32" t="str">
        <x:v>TH</x:v>
      </x:c>
      <x:c r="AE31" s="32" t="str">
        <x:v>Yes</x:v>
      </x:c>
      <x:c r="AF31" s="32" t="str">
        <x:v>Standard</x:v>
      </x:c>
      <x:c r="AG31" s="32" t="str">
        <x:v>LIB-007</x:v>
      </x:c>
      <x:c r="AH31" s="32" t="str">
        <x:v>TH</x:v>
      </x:c>
      <x:c r="AI31" s="32" t="str">
        <x:v>Main</x:v>
      </x:c>
      <x:c r="AJ31" s="32" t="str">
        <x:v>None</x:v>
      </x:c>
      <x:c r="AK31" s="32" t="str">
        <x:v>inputs/product_images/IMG002.png</x:v>
      </x:c>
      <x:c r="AL31" s="32" t="str"/>
      <x:c r="AM31" s="32" t="str">
        <x:v>N/A</x:v>
      </x:c>
      <x:c r="AN31" s="32" t="str">
        <x:v>N/A</x:v>
      </x:c>
      <x:c r="AO31" s="32" t="str"/>
      <x:c r="AP31" s="32" t="str">
        <x:v>Potential</x:v>
      </x:c>
      <x:c r="AQ31" s="32" t="str">
        <x:v>Not Started</x:v>
      </x:c>
      <x:c r="AR31" s="32" t="str">
        <x:v>N/A</x:v>
      </x:c>
      <x:c r="AS31" s="32" t="str">
        <x:f>IFERROR(VLOOKUP(B31&amp;"|24h",'COMMENT_RECHECK'!$V$5:$Y$204,3,FALSE),"")</x:f>
        <x:v>Mixed</x:v>
      </x:c>
      <x:c r="AT31" s="32" t="str">
        <x:v>[SANITIZED]</x:v>
      </x:c>
      <x:c r="AU31" s="32" t="str">
        <x:v>case_account_07</x:v>
      </x:c>
      <x:c r="AV31" s="32" t="str">
        <x:v>[SANITIZED]</x:v>
      </x:c>
      <x:c r="AW31" s="32" t="str">
        <x:v>[SANITIZED]</x:v>
      </x:c>
      <x:c r="AX31" s="32" t="str">
        <x:v>[SANITIZED]</x:v>
      </x:c>
      <x:c r="AY31" s="32" t="str">
        <x:v>Manual Simulation</x:v>
      </x:c>
      <x:c r="AZ31" s="32" t="str">
        <x:v>2026-07-21 15:02</x:v>
      </x:c>
      <x:c r="BA31" s="32" t="str">
        <x:v>2026-07-21 15:02</x:v>
      </x:c>
      <x:c r="BB31" s="32" t="str">
        <x:v>Yes</x:v>
      </x:c>
      <x:c r="BC31" s="32" t="str">
        <x:v>Yes</x:v>
      </x:c>
      <x:c r="BD31" s="32" t="str"/>
      <x:c r="BE31" s="32" t="str"/>
      <x:c r="BF31" s="32" t="str">
        <x:v>No</x:v>
      </x:c>
      <x:c r="BG31" s="32" t="str">
        <x:v>No</x:v>
      </x:c>
      <x:c r="BH31" s="32" t="n">
        <x:v>0</x:v>
      </x:c>
      <x:c r="BI31" s="32" t="str">
        <x:v>24h</x:v>
      </x:c>
      <x:c r="BJ31" s="32" t="str">
        <x:f>IFERROR(VLOOKUP(B31&amp;"|24h",'COMMENT_RECHECK'!$V$5:$Y$204,4,FALSE),"Pending")</x:f>
        <x:v>Mixed Reply</x:v>
      </x:c>
      <x:c r="BK31" s="33" t="str">
        <x:f>IF(OR(COUNTIF($B$5:$B$104,B31)&gt;1,AND(T31="Posted",BC31&lt;&gt;"Yes"),AND(OR(BJ31="Verified User Reply",BJ31="Mixed Reply"),Y31="")),"Review","OK")</x:f>
        <x:v>OK</x:v>
      </x:c>
    </x:row>
    <x:row r="32">
      <x:c r="A32" s="49" t="n">
        <x:v>46225</x:v>
      </x:c>
      <x:c r="B32" s="32" t="str">
        <x:v>IC-0028</x:v>
      </x:c>
      <x:c r="C32" s="32" t="str">
        <x:v>Account Slot 8</x:v>
      </x:c>
      <x:c r="D32" s="32" t="str">
        <x:v>Synthetic Display 8</x:v>
      </x:c>
      <x:c r="E32" s="32" t="str">
        <x:v>16:09</x:v>
      </x:c>
      <x:c r="F32" s="32" t="str">
        <x:v>creator_case_028</x:v>
      </x:c>
      <x:c r="G32" s="32" t="str">
        <x:v>Tailoring</x:v>
      </x:c>
      <x:c r="H32" s="32" t="str">
        <x:v>https://video.invalid/case/V0028</x:v>
      </x:c>
      <x:c r="I32" s="32" t="str">
        <x:v>เสื้อคลุม</x:v>
      </x:c>
      <x:c r="J32" s="32" t="str">
        <x:v>2026-07-20 18:00</x:v>
      </x:c>
      <x:c r="K32" s="32" t="n">
        <x:v>1999</x:v>
      </x:c>
      <x:c r="L32" s="32" t="n">
        <x:v>171</x:v>
      </x:c>
      <x:c r="M32" s="32" t="str">
        <x:v>Main comment</x:v>
      </x:c>
      <x:c r="N32" s="32" t="str">
        <x:v>Main comment</x:v>
      </x:c>
      <x:c r="O32" s="32" t="str">
        <x:v>โทนเข้มแบบนี้ช่วยให้ลุคดูคมและน่าสนใจมาก blazer ทรงนี้ถ้ามีจุดเด่นเล็กแบบในรูป น่าจะดูตั้งใจและจำง่ายขึ้นมากค่ะ</x:v>
      </x:c>
      <x:c r="P32" s="32" t="str">
        <x:v>IMG004</x:v>
      </x:c>
      <x:c r="Q32" s="32" t="str">
        <x:v>Polished black blazer look with pearl and monochrome fashion-button details</x:v>
      </x:c>
      <x:c r="R32" s="32" t="str">
        <x:v>Synthetic context before</x:v>
      </x:c>
      <x:c r="S32" s="32" t="str">
        <x:v>Synthetic context after</x:v>
      </x:c>
      <x:c r="T32" s="32" t="str">
        <x:v>Posted</x:v>
      </x:c>
      <x:c r="U32" s="32" t="str">
        <x:f>IFERROR(VLOOKUP(B32&amp;"|24h",'COMMENT_RECHECK'!$V$5:$Y$204,2,FALSE),"Pending")</x:f>
        <x:v>Visible</x:v>
      </x:c>
      <x:c r="V32" s="32" t="n">
        <x:v>0</x:v>
      </x:c>
      <x:c r="W32" s="32" t="str"/>
      <x:c r="X32" s="32" t="n">
        <x:v>0</x:v>
      </x:c>
      <x:c r="Y32" s="32" t="str">
        <x:v>EVD-SYN-0028-POST</x:v>
      </x:c>
      <x:c r="Z32" s="32" t="str"/>
      <x:c r="AA32" s="32" t="str">
        <x:v>Core</x:v>
      </x:c>
      <x:c r="AB32" s="32" t="str">
        <x:v>N/A</x:v>
      </x:c>
      <x:c r="AC32" s="32" t="str">
        <x:v>Neutral</x:v>
      </x:c>
      <x:c r="AD32" s="32" t="str">
        <x:v>TH</x:v>
      </x:c>
      <x:c r="AE32" s="32" t="str">
        <x:v>Yes</x:v>
      </x:c>
      <x:c r="AF32" s="32" t="str">
        <x:v>Standard</x:v>
      </x:c>
      <x:c r="AG32" s="32" t="str">
        <x:v>LIB-008</x:v>
      </x:c>
      <x:c r="AH32" s="32" t="str">
        <x:v>TH</x:v>
      </x:c>
      <x:c r="AI32" s="32" t="str">
        <x:v>Main</x:v>
      </x:c>
      <x:c r="AJ32" s="32" t="str">
        <x:v>None</x:v>
      </x:c>
      <x:c r="AK32" s="32" t="str">
        <x:v>inputs/product_images/IMG004.png</x:v>
      </x:c>
      <x:c r="AL32" s="32" t="str"/>
      <x:c r="AM32" s="32" t="str">
        <x:v>N/A</x:v>
      </x:c>
      <x:c r="AN32" s="32" t="str">
        <x:v>N/A</x:v>
      </x:c>
      <x:c r="AO32" s="32" t="str"/>
      <x:c r="AP32" s="32" t="str">
        <x:v>No</x:v>
      </x:c>
      <x:c r="AQ32" s="32" t="str">
        <x:v>Not Started</x:v>
      </x:c>
      <x:c r="AR32" s="32" t="str">
        <x:v>N/A</x:v>
      </x:c>
      <x:c r="AS32" s="32" t="str">
        <x:f>IFERROR(VLOOKUP(B32&amp;"|24h",'COMMENT_RECHECK'!$V$5:$Y$204,3,FALSE),"")</x:f>
        <x:v>None</x:v>
      </x:c>
      <x:c r="AT32" s="32" t="str">
        <x:v>[SANITIZED]</x:v>
      </x:c>
      <x:c r="AU32" s="32" t="str">
        <x:v>case_account_08</x:v>
      </x:c>
      <x:c r="AV32" s="32" t="str">
        <x:v>[SANITIZED]</x:v>
      </x:c>
      <x:c r="AW32" s="32" t="str">
        <x:v>[SANITIZED]</x:v>
      </x:c>
      <x:c r="AX32" s="32" t="str">
        <x:v>[SANITIZED]</x:v>
      </x:c>
      <x:c r="AY32" s="32" t="str">
        <x:v>Manual Simulation</x:v>
      </x:c>
      <x:c r="AZ32" s="32" t="str">
        <x:v>2026-07-21 16:09</x:v>
      </x:c>
      <x:c r="BA32" s="32" t="str">
        <x:v>2026-07-21 16:09</x:v>
      </x:c>
      <x:c r="BB32" s="32" t="str">
        <x:v>Yes</x:v>
      </x:c>
      <x:c r="BC32" s="32" t="str">
        <x:v>Yes</x:v>
      </x:c>
      <x:c r="BD32" s="32" t="str"/>
      <x:c r="BE32" s="32" t="str"/>
      <x:c r="BF32" s="32" t="str">
        <x:v>No</x:v>
      </x:c>
      <x:c r="BG32" s="32" t="str">
        <x:v>No</x:v>
      </x:c>
      <x:c r="BH32" s="32" t="n">
        <x:v>0</x:v>
      </x:c>
      <x:c r="BI32" s="32" t="str">
        <x:v>24h</x:v>
      </x:c>
      <x:c r="BJ32" s="32" t="str">
        <x:f>IFERROR(VLOOKUP(B32&amp;"|24h",'COMMENT_RECHECK'!$V$5:$Y$204,4,FALSE),"Pending")</x:f>
        <x:v>No Verified User Reply</x:v>
      </x:c>
      <x:c r="BK32" s="33" t="str">
        <x:f>IF(OR(COUNTIF($B$5:$B$104,B32)&gt;1,AND(T32="Posted",BC32&lt;&gt;"Yes"),AND(OR(BJ32="Verified User Reply",BJ32="Mixed Reply"),Y32="")),"Review","OK")</x:f>
        <x:v>OK</x:v>
      </x:c>
    </x:row>
    <x:row r="33">
      <x:c r="A33" s="49" t="n">
        <x:v>46225</x:v>
      </x:c>
      <x:c r="B33" s="32" t="str">
        <x:v>IC-0029</x:v>
      </x:c>
      <x:c r="C33" s="32" t="str">
        <x:v>Account Slot 9</x:v>
      </x:c>
      <x:c r="D33" s="32" t="str">
        <x:v>Synthetic Display 9</x:v>
      </x:c>
      <x:c r="E33" s="32" t="str">
        <x:v>17:16</x:v>
      </x:c>
      <x:c r="F33" s="32" t="str">
        <x:v>creator_case_029</x:v>
      </x:c>
      <x:c r="G33" s="32" t="str">
        <x:v>Fashion</x:v>
      </x:c>
      <x:c r="H33" s="32" t="str">
        <x:v>https://video.invalid/case/V0029</x:v>
      </x:c>
      <x:c r="I33" s="32" t="str">
        <x:v>การจับคู่สี</x:v>
      </x:c>
      <x:c r="J33" s="32" t="str">
        <x:v>2026-07-20 18:00</x:v>
      </x:c>
      <x:c r="K33" s="32" t="n">
        <x:v>2036</x:v>
      </x:c>
      <x:c r="L33" s="32" t="n">
        <x:v>174</x:v>
      </x:c>
      <x:c r="M33" s="32" t="str">
        <x:v>Reply</x:v>
      </x:c>
      <x:c r="N33" s="32" t="str">
        <x:v>Synthetic parent</x:v>
      </x:c>
      <x:c r="O33" s="32" t="str">
        <x:v>เสื้อคลุมทรงนี้ช่วยให้ชุดดูนุ่มนวลขึ้นพอดีเลย ดีเทลกระดุมดอกไม้ตรงคอและปลายแขนแบบในรูปช่วยให้เสื้อเรียบดูมีเรื่องราวขึ้นเลย</x:v>
      </x:c>
      <x:c r="P33" s="32" t="str">
        <x:v>IMG002</x:v>
      </x:c>
      <x:c r="Q33" s="32" t="str">
        <x:v>White shirt with floral fashion-button details at the collar and cuff</x:v>
      </x:c>
      <x:c r="R33" s="32" t="str">
        <x:v>Synthetic context before</x:v>
      </x:c>
      <x:c r="S33" s="32" t="str">
        <x:v>Synthetic context after</x:v>
      </x:c>
      <x:c r="T33" s="32" t="str">
        <x:v>Posted</x:v>
      </x:c>
      <x:c r="U33" s="32" t="str">
        <x:f>IFERROR(VLOOKUP(B33&amp;"|24h",'COMMENT_RECHECK'!$V$5:$Y$204,2,FALSE),"Pending")</x:f>
        <x:v>Visible</x:v>
      </x:c>
      <x:c r="V33" s="32" t="n">
        <x:v>1</x:v>
      </x:c>
      <x:c r="W33" s="32" t="str">
        <x:v>Synthetic reply preview</x:v>
      </x:c>
      <x:c r="X33" s="32" t="n">
        <x:v>0</x:v>
      </x:c>
      <x:c r="Y33" s="32" t="str">
        <x:v>EVD-SYN-0029-POST</x:v>
      </x:c>
      <x:c r="Z33" s="32" t="str"/>
      <x:c r="AA33" s="32" t="str">
        <x:v>Core</x:v>
      </x:c>
      <x:c r="AB33" s="32" t="str">
        <x:v>N/A</x:v>
      </x:c>
      <x:c r="AC33" s="32" t="str">
        <x:v>Styled</x:v>
      </x:c>
      <x:c r="AD33" s="32" t="str">
        <x:v>TH</x:v>
      </x:c>
      <x:c r="AE33" s="32" t="str">
        <x:v>Yes</x:v>
      </x:c>
      <x:c r="AF33" s="32" t="str">
        <x:v>Standard</x:v>
      </x:c>
      <x:c r="AG33" s="32" t="str">
        <x:v>LIB-009</x:v>
      </x:c>
      <x:c r="AH33" s="32" t="str">
        <x:v>TH</x:v>
      </x:c>
      <x:c r="AI33" s="32" t="str">
        <x:v>Reply</x:v>
      </x:c>
      <x:c r="AJ33" s="32" t="str">
        <x:v>None</x:v>
      </x:c>
      <x:c r="AK33" s="32" t="str">
        <x:v>inputs/product_images/IMG002.png</x:v>
      </x:c>
      <x:c r="AL33" s="32" t="str"/>
      <x:c r="AM33" s="32" t="str">
        <x:v>N/A</x:v>
      </x:c>
      <x:c r="AN33" s="32" t="str">
        <x:v>N/A</x:v>
      </x:c>
      <x:c r="AO33" s="32" t="str"/>
      <x:c r="AP33" s="32" t="str">
        <x:v>Potential</x:v>
      </x:c>
      <x:c r="AQ33" s="32" t="str">
        <x:v>Not Started</x:v>
      </x:c>
      <x:c r="AR33" s="32" t="str">
        <x:v>N/A</x:v>
      </x:c>
      <x:c r="AS33" s="32" t="str">
        <x:f>IFERROR(VLOOKUP(B33&amp;"|24h",'COMMENT_RECHECK'!$V$5:$Y$204,3,FALSE),"")</x:f>
        <x:v>User</x:v>
      </x:c>
      <x:c r="AT33" s="32" t="str">
        <x:v>[SANITIZED]</x:v>
      </x:c>
      <x:c r="AU33" s="32" t="str">
        <x:v>case_account_09</x:v>
      </x:c>
      <x:c r="AV33" s="32" t="str">
        <x:v>[SANITIZED]</x:v>
      </x:c>
      <x:c r="AW33" s="32" t="str">
        <x:v>[SANITIZED]</x:v>
      </x:c>
      <x:c r="AX33" s="32" t="str">
        <x:v>[SANITIZED]</x:v>
      </x:c>
      <x:c r="AY33" s="32" t="str">
        <x:v>Manual Simulation</x:v>
      </x:c>
      <x:c r="AZ33" s="32" t="str">
        <x:v>2026-07-21 17:16</x:v>
      </x:c>
      <x:c r="BA33" s="32" t="str">
        <x:v>2026-07-21 17:16</x:v>
      </x:c>
      <x:c r="BB33" s="32" t="str">
        <x:v>Yes</x:v>
      </x:c>
      <x:c r="BC33" s="32" t="str">
        <x:v>Yes</x:v>
      </x:c>
      <x:c r="BD33" s="32" t="str"/>
      <x:c r="BE33" s="32" t="str"/>
      <x:c r="BF33" s="32" t="str">
        <x:v>No</x:v>
      </x:c>
      <x:c r="BG33" s="32" t="str">
        <x:v>No</x:v>
      </x:c>
      <x:c r="BH33" s="32" t="n">
        <x:v>0</x:v>
      </x:c>
      <x:c r="BI33" s="32" t="str">
        <x:v>24h</x:v>
      </x:c>
      <x:c r="BJ33" s="32" t="str">
        <x:f>IFERROR(VLOOKUP(B33&amp;"|24h",'COMMENT_RECHECK'!$V$5:$Y$204,4,FALSE),"Pending")</x:f>
        <x:v>Verified User Reply</x:v>
      </x:c>
      <x:c r="BK33" s="33" t="str">
        <x:f>IF(OR(COUNTIF($B$5:$B$104,B33)&gt;1,AND(T33="Posted",BC33&lt;&gt;"Yes"),AND(OR(BJ33="Verified User Reply",BJ33="Mixed Reply"),Y33="")),"Review","OK")</x:f>
        <x:v>OK</x:v>
      </x:c>
    </x:row>
    <x:row r="34">
      <x:c r="A34" s="49" t="n">
        <x:v>46225</x:v>
      </x:c>
      <x:c r="B34" s="32" t="str">
        <x:v>IC-0030</x:v>
      </x:c>
      <x:c r="C34" s="32" t="str">
        <x:v>Account Slot 10</x:v>
      </x:c>
      <x:c r="D34" s="32" t="str">
        <x:v>Synthetic Display 10</x:v>
      </x:c>
      <x:c r="E34" s="32" t="str">
        <x:v>18:23</x:v>
      </x:c>
      <x:c r="F34" s="32" t="str">
        <x:v>creator_case_030</x:v>
      </x:c>
      <x:c r="G34" s="32" t="str">
        <x:v>DIY</x:v>
      </x:c>
      <x:c r="H34" s="32" t="str">
        <x:v>https://video.invalid/case/V0030</x:v>
      </x:c>
      <x:c r="I34" s="32" t="str">
        <x:v>รีวิวงานฝีมือ</x:v>
      </x:c>
      <x:c r="J34" s="32" t="str">
        <x:v>2026-07-20 18:00</x:v>
      </x:c>
      <x:c r="K34" s="32" t="n">
        <x:v>2073</x:v>
      </x:c>
      <x:c r="L34" s="32" t="n">
        <x:v>177</x:v>
      </x:c>
      <x:c r="M34" s="32" t="str">
        <x:v>Main comment</x:v>
      </x:c>
      <x:c r="N34" s="32" t="str">
        <x:v>Main comment</x:v>
      </x:c>
      <x:c r="O34" s="32" t="str">
        <x:v>มู้ด working woman แบบนี้ดูแพงและมีคาแรกเตอร์มาก ถ้าจับคู่เบลเซอร์กับตัวครอบกระดุมโทนมุกแบบในรูป ลุคน่าจะ polished ขึ้นอีกนิด</x:v>
      </x:c>
      <x:c r="P34" s="32" t="str">
        <x:v>IMG004</x:v>
      </x:c>
      <x:c r="Q34" s="32" t="str">
        <x:v>Polished black blazer look with pearl and monochrome fashion-button details</x:v>
      </x:c>
      <x:c r="R34" s="32" t="str">
        <x:v>Synthetic context before</x:v>
      </x:c>
      <x:c r="S34" s="32" t="str">
        <x:v>Synthetic context after</x:v>
      </x:c>
      <x:c r="T34" s="32" t="str">
        <x:v>Posted</x:v>
      </x:c>
      <x:c r="U34" s="32" t="str">
        <x:f>IFERROR(VLOOKUP(B34&amp;"|24h",'COMMENT_RECHECK'!$V$5:$Y$204,2,FALSE),"Pending")</x:f>
        <x:v>Visible</x:v>
      </x:c>
      <x:c r="V34" s="32" t="n">
        <x:v>0</x:v>
      </x:c>
      <x:c r="W34" s="32" t="str"/>
      <x:c r="X34" s="32" t="n">
        <x:v>0</x:v>
      </x:c>
      <x:c r="Y34" s="32" t="str">
        <x:v>EVD-SYN-0030-POST</x:v>
      </x:c>
      <x:c r="Z34" s="32" t="str"/>
      <x:c r="AA34" s="32" t="str">
        <x:v>Core</x:v>
      </x:c>
      <x:c r="AB34" s="32" t="str">
        <x:v>N/A</x:v>
      </x:c>
      <x:c r="AC34" s="32" t="str">
        <x:v>Neutral</x:v>
      </x:c>
      <x:c r="AD34" s="32" t="str">
        <x:v>TH</x:v>
      </x:c>
      <x:c r="AE34" s="32" t="str">
        <x:v>Yes</x:v>
      </x:c>
      <x:c r="AF34" s="32" t="str">
        <x:v>Standard</x:v>
      </x:c>
      <x:c r="AG34" s="32" t="str">
        <x:v>LIB-010</x:v>
      </x:c>
      <x:c r="AH34" s="32" t="str">
        <x:v>TH</x:v>
      </x:c>
      <x:c r="AI34" s="32" t="str">
        <x:v>Main</x:v>
      </x:c>
      <x:c r="AJ34" s="32" t="str">
        <x:v>None</x:v>
      </x:c>
      <x:c r="AK34" s="32" t="str">
        <x:v>inputs/product_images/IMG004.png</x:v>
      </x:c>
      <x:c r="AL34" s="32" t="str"/>
      <x:c r="AM34" s="32" t="str">
        <x:v>N/A</x:v>
      </x:c>
      <x:c r="AN34" s="32" t="str">
        <x:v>N/A</x:v>
      </x:c>
      <x:c r="AO34" s="32" t="str"/>
      <x:c r="AP34" s="32" t="str">
        <x:v>No</x:v>
      </x:c>
      <x:c r="AQ34" s="32" t="str">
        <x:v>Not Started</x:v>
      </x:c>
      <x:c r="AR34" s="32" t="str">
        <x:v>N/A</x:v>
      </x:c>
      <x:c r="AS34" s="32" t="str">
        <x:f>IFERROR(VLOOKUP(B34&amp;"|24h",'COMMENT_RECHECK'!$V$5:$Y$204,3,FALSE),"")</x:f>
        <x:v>None</x:v>
      </x:c>
      <x:c r="AT34" s="32" t="str">
        <x:v>[SANITIZED]</x:v>
      </x:c>
      <x:c r="AU34" s="32" t="str">
        <x:v>case_account_10</x:v>
      </x:c>
      <x:c r="AV34" s="32" t="str">
        <x:v>[SANITIZED]</x:v>
      </x:c>
      <x:c r="AW34" s="32" t="str">
        <x:v>[SANITIZED]</x:v>
      </x:c>
      <x:c r="AX34" s="32" t="str">
        <x:v>[SANITIZED]</x:v>
      </x:c>
      <x:c r="AY34" s="32" t="str">
        <x:v>Manual Simulation</x:v>
      </x:c>
      <x:c r="AZ34" s="32" t="str">
        <x:v>2026-07-21 18:23</x:v>
      </x:c>
      <x:c r="BA34" s="32" t="str">
        <x:v>2026-07-21 18:23</x:v>
      </x:c>
      <x:c r="BB34" s="32" t="str">
        <x:v>Yes</x:v>
      </x:c>
      <x:c r="BC34" s="32" t="str">
        <x:v>Yes</x:v>
      </x:c>
      <x:c r="BD34" s="32" t="str"/>
      <x:c r="BE34" s="32" t="str"/>
      <x:c r="BF34" s="32" t="str">
        <x:v>No</x:v>
      </x:c>
      <x:c r="BG34" s="32" t="str">
        <x:v>No</x:v>
      </x:c>
      <x:c r="BH34" s="32" t="n">
        <x:v>0</x:v>
      </x:c>
      <x:c r="BI34" s="32" t="str">
        <x:v>24h</x:v>
      </x:c>
      <x:c r="BJ34" s="32" t="str">
        <x:f>IFERROR(VLOOKUP(B34&amp;"|24h",'COMMENT_RECHECK'!$V$5:$Y$204,4,FALSE),"Pending")</x:f>
        <x:v>No Verified User Reply</x:v>
      </x:c>
      <x:c r="BK34" s="33" t="str">
        <x:f>IF(OR(COUNTIF($B$5:$B$104,B34)&gt;1,AND(T34="Posted",BC34&lt;&gt;"Yes"),AND(OR(BJ34="Verified User Reply",BJ34="Mixed Reply"),Y34="")),"Review","OK")</x:f>
        <x:v>OK</x:v>
      </x:c>
    </x:row>
    <x:row r="35">
      <x:c r="A35" s="49" t="n">
        <x:v>46225</x:v>
      </x:c>
      <x:c r="B35" s="32" t="str">
        <x:v>IC-0031</x:v>
      </x:c>
      <x:c r="C35" s="32" t="str">
        <x:v>Account Slot 1</x:v>
      </x:c>
      <x:c r="D35" s="32" t="str">
        <x:v>Synthetic Display 1</x:v>
      </x:c>
      <x:c r="E35" s="32" t="str">
        <x:v>09:30</x:v>
      </x:c>
      <x:c r="F35" s="32" t="str">
        <x:v>creator_case_031</x:v>
      </x:c>
      <x:c r="G35" s="32" t="str">
        <x:v>Lifestyle</x:v>
      </x:c>
      <x:c r="H35" s="32" t="str">
        <x:v>https://video.invalid/case/V0031</x:v>
      </x:c>
      <x:c r="I35" s="32" t="str">
        <x:v>เสื้อเชิ้ตทำงาน</x:v>
      </x:c>
      <x:c r="J35" s="32" t="str">
        <x:v>2026-07-20 18:00</x:v>
      </x:c>
      <x:c r="K35" s="32" t="n">
        <x:v>2110</x:v>
      </x:c>
      <x:c r="L35" s="32" t="n">
        <x:v>180</x:v>
      </x:c>
      <x:c r="M35" s="32" t="str">
        <x:v>Main comment</x:v>
      </x:c>
      <x:c r="N35" s="32" t="str">
        <x:v>Main comment</x:v>
      </x:c>
      <x:c r="O35" s="32" t="str">
        <x:v>เสื้อไหมพรมลุคนี้ดูเรียบแต่มีเสน่ห์ดีค่ะ รายละเอียดเล็กตรงกระดุมแบบในรูปช่วยดึงสายตาให้ช่วงบนดูมีมิติมากขึ้นค่ะ</x:v>
      </x:c>
      <x:c r="P35" s="32" t="str">
        <x:v>IMG002</x:v>
      </x:c>
      <x:c r="Q35" s="32" t="str">
        <x:v>White shirt with floral fashion-button details at the collar and cuff</x:v>
      </x:c>
      <x:c r="R35" s="32" t="str">
        <x:v>Synthetic context before</x:v>
      </x:c>
      <x:c r="S35" s="32" t="str">
        <x:v>Synthetic context after</x:v>
      </x:c>
      <x:c r="T35" s="32" t="str">
        <x:v>Posted</x:v>
      </x:c>
      <x:c r="U35" s="32" t="str">
        <x:f>IFERROR(VLOOKUP(B35&amp;"|24h",'COMMENT_RECHECK'!$V$5:$Y$204,2,FALSE),"Pending")</x:f>
        <x:v>Missing</x:v>
      </x:c>
      <x:c r="V35" s="32" t="n">
        <x:v>0</x:v>
      </x:c>
      <x:c r="W35" s="32" t="str"/>
      <x:c r="X35" s="32" t="n">
        <x:v>0</x:v>
      </x:c>
      <x:c r="Y35" s="32" t="str">
        <x:v>EVD-SYN-0031-POST</x:v>
      </x:c>
      <x:c r="Z35" s="32" t="str"/>
      <x:c r="AA35" s="32" t="str">
        <x:v>Core</x:v>
      </x:c>
      <x:c r="AB35" s="32" t="str">
        <x:v>N/A</x:v>
      </x:c>
      <x:c r="AC35" s="32" t="str">
        <x:v>Styled</x:v>
      </x:c>
      <x:c r="AD35" s="32" t="str">
        <x:v>TH</x:v>
      </x:c>
      <x:c r="AE35" s="32" t="str">
        <x:v>Yes</x:v>
      </x:c>
      <x:c r="AF35" s="32" t="str">
        <x:v>Standard</x:v>
      </x:c>
      <x:c r="AG35" s="32" t="str">
        <x:v>LIB-011</x:v>
      </x:c>
      <x:c r="AH35" s="32" t="str">
        <x:v>TH</x:v>
      </x:c>
      <x:c r="AI35" s="32" t="str">
        <x:v>Main</x:v>
      </x:c>
      <x:c r="AJ35" s="32" t="str">
        <x:v>Reference</x:v>
      </x:c>
      <x:c r="AK35" s="32" t="str">
        <x:v>inputs/product_images/IMG002.png</x:v>
      </x:c>
      <x:c r="AL35" s="32" t="str"/>
      <x:c r="AM35" s="32" t="str">
        <x:v>Yes</x:v>
      </x:c>
      <x:c r="AN35" s="32" t="str">
        <x:v>Complete</x:v>
      </x:c>
      <x:c r="AO35" s="32" t="str"/>
      <x:c r="AP35" s="32" t="str">
        <x:v>No</x:v>
      </x:c>
      <x:c r="AQ35" s="32" t="str">
        <x:v>Not Started</x:v>
      </x:c>
      <x:c r="AR35" s="32" t="str">
        <x:v>Fit</x:v>
      </x:c>
      <x:c r="AS35" s="32" t="str">
        <x:f>IFERROR(VLOOKUP(B35&amp;"|24h",'COMMENT_RECHECK'!$V$5:$Y$204,3,FALSE),"")</x:f>
        <x:v>None</x:v>
      </x:c>
      <x:c r="AT35" s="32" t="str">
        <x:v>[SANITIZED]</x:v>
      </x:c>
      <x:c r="AU35" s="32" t="str">
        <x:v>case_account_01</x:v>
      </x:c>
      <x:c r="AV35" s="32" t="str">
        <x:v>[SANITIZED]</x:v>
      </x:c>
      <x:c r="AW35" s="32" t="str">
        <x:v>[SANITIZED]</x:v>
      </x:c>
      <x:c r="AX35" s="32" t="str">
        <x:v>[SANITIZED]</x:v>
      </x:c>
      <x:c r="AY35" s="32" t="str">
        <x:v>Manual Simulation</x:v>
      </x:c>
      <x:c r="AZ35" s="32" t="str">
        <x:v>2026-07-21 09:30</x:v>
      </x:c>
      <x:c r="BA35" s="32" t="str">
        <x:v>2026-07-21 09:30</x:v>
      </x:c>
      <x:c r="BB35" s="32" t="str">
        <x:v>Yes</x:v>
      </x:c>
      <x:c r="BC35" s="32" t="str">
        <x:v>No</x:v>
      </x:c>
      <x:c r="BD35" s="32" t="str"/>
      <x:c r="BE35" s="32" t="str"/>
      <x:c r="BF35" s="32" t="str">
        <x:v>No</x:v>
      </x:c>
      <x:c r="BG35" s="32" t="str">
        <x:v>No</x:v>
      </x:c>
      <x:c r="BH35" s="32" t="n">
        <x:v>0</x:v>
      </x:c>
      <x:c r="BI35" s="32" t="str">
        <x:v>24h</x:v>
      </x:c>
      <x:c r="BJ35" s="32" t="str">
        <x:f>IFERROR(VLOOKUP(B35&amp;"|24h",'COMMENT_RECHECK'!$V$5:$Y$204,4,FALSE),"Pending")</x:f>
        <x:v>No Verified User Reply</x:v>
      </x:c>
      <x:c r="BK35" s="33" t="str">
        <x:f>IF(OR(COUNTIF($B$5:$B$104,B35)&gt;1,AND(T35="Posted",BC35&lt;&gt;"Yes"),AND(OR(BJ35="Verified User Reply",BJ35="Mixed Reply"),Y35="")),"Review","OK")</x:f>
        <x:v>Review</x:v>
      </x:c>
    </x:row>
    <x:row r="36">
      <x:c r="A36" s="49" t="n">
        <x:v>46225</x:v>
      </x:c>
      <x:c r="B36" s="32" t="str">
        <x:v>IC-0032</x:v>
      </x:c>
      <x:c r="C36" s="32" t="str">
        <x:v>Account Slot 2</x:v>
      </x:c>
      <x:c r="D36" s="32" t="str">
        <x:v>Synthetic Display 2</x:v>
      </x:c>
      <x:c r="E36" s="32" t="str">
        <x:v>10:37</x:v>
      </x:c>
      <x:c r="F36" s="32" t="str">
        <x:v>creator_case_032</x:v>
      </x:c>
      <x:c r="G36" s="32" t="str">
        <x:v>Tailoring</x:v>
      </x:c>
      <x:c r="H36" s="32" t="str">
        <x:v>https://video.invalid/case/V0032</x:v>
      </x:c>
      <x:c r="I36" s="32" t="str">
        <x:v>แจ็กเก็ตเดนิม</x:v>
      </x:c>
      <x:c r="J36" s="32" t="str">
        <x:v>2026-07-20 18:00</x:v>
      </x:c>
      <x:c r="K36" s="32" t="n">
        <x:v>2147</x:v>
      </x:c>
      <x:c r="L36" s="32" t="n">
        <x:v>183</x:v>
      </x:c>
      <x:c r="M36" s="32" t="str">
        <x:v>Main comment</x:v>
      </x:c>
      <x:c r="N36" s="32" t="str">
        <x:v>Main comment</x:v>
      </x:c>
      <x:c r="O36" s="32" t="str">
        <x:v>ภาพรวมของ office look นี้ดูตั้งใจแบบไม่เยอะเกินไปค่ะ ถ้าเล่นลูกเล่นกระดุมดอกไม้เล็ก ๆ แบบในรูป ช่วงบนของลุคน่าจะเด่นขึ้นพอดีค่ะ</x:v>
      </x:c>
      <x:c r="P36" s="32" t="str">
        <x:v>IMG002</x:v>
      </x:c>
      <x:c r="Q36" s="32" t="str">
        <x:v>White shirt with floral fashion-button details at the collar and cuff</x:v>
      </x:c>
      <x:c r="R36" s="32" t="str">
        <x:v>Synthetic context before</x:v>
      </x:c>
      <x:c r="S36" s="32" t="str">
        <x:v>Synthetic context after</x:v>
      </x:c>
      <x:c r="T36" s="32" t="str">
        <x:v>Posted</x:v>
      </x:c>
      <x:c r="U36" s="32" t="str">
        <x:f>IFERROR(VLOOKUP(B36&amp;"|24h",'COMMENT_RECHECK'!$V$5:$Y$204,2,FALSE),"Pending")</x:f>
        <x:v>Visible</x:v>
      </x:c>
      <x:c r="V36" s="32" t="n">
        <x:v>0</x:v>
      </x:c>
      <x:c r="W36" s="32" t="str"/>
      <x:c r="X36" s="32" t="n">
        <x:v>0</x:v>
      </x:c>
      <x:c r="Y36" s="32" t="str">
        <x:v>EVD-SYN-0032-POST</x:v>
      </x:c>
      <x:c r="Z36" s="32" t="str"/>
      <x:c r="AA36" s="32" t="str">
        <x:v>Core</x:v>
      </x:c>
      <x:c r="AB36" s="32" t="str">
        <x:v>N/A</x:v>
      </x:c>
      <x:c r="AC36" s="32" t="str">
        <x:v>Neutral</x:v>
      </x:c>
      <x:c r="AD36" s="32" t="str">
        <x:v>TH</x:v>
      </x:c>
      <x:c r="AE36" s="32" t="str">
        <x:v>Yes</x:v>
      </x:c>
      <x:c r="AF36" s="32" t="str">
        <x:v>Standard</x:v>
      </x:c>
      <x:c r="AG36" s="32" t="str">
        <x:v>LIB-012</x:v>
      </x:c>
      <x:c r="AH36" s="32" t="str">
        <x:v>TH</x:v>
      </x:c>
      <x:c r="AI36" s="32" t="str">
        <x:v>Main</x:v>
      </x:c>
      <x:c r="AJ36" s="32" t="str">
        <x:v>None</x:v>
      </x:c>
      <x:c r="AK36" s="32" t="str">
        <x:v>inputs/product_images/IMG002.png</x:v>
      </x:c>
      <x:c r="AL36" s="32" t="str"/>
      <x:c r="AM36" s="32" t="str">
        <x:v>N/A</x:v>
      </x:c>
      <x:c r="AN36" s="32" t="str">
        <x:v>N/A</x:v>
      </x:c>
      <x:c r="AO36" s="32" t="str"/>
      <x:c r="AP36" s="32" t="str">
        <x:v>No</x:v>
      </x:c>
      <x:c r="AQ36" s="32" t="str">
        <x:v>Not Started</x:v>
      </x:c>
      <x:c r="AR36" s="32" t="str">
        <x:v>N/A</x:v>
      </x:c>
      <x:c r="AS36" s="32" t="str">
        <x:f>IFERROR(VLOOKUP(B36&amp;"|24h",'COMMENT_RECHECK'!$V$5:$Y$204,3,FALSE),"")</x:f>
        <x:v>None</x:v>
      </x:c>
      <x:c r="AT36" s="32" t="str">
        <x:v>[SANITIZED]</x:v>
      </x:c>
      <x:c r="AU36" s="32" t="str">
        <x:v>case_account_02</x:v>
      </x:c>
      <x:c r="AV36" s="32" t="str">
        <x:v>[SANITIZED]</x:v>
      </x:c>
      <x:c r="AW36" s="32" t="str">
        <x:v>[SANITIZED]</x:v>
      </x:c>
      <x:c r="AX36" s="32" t="str">
        <x:v>[SANITIZED]</x:v>
      </x:c>
      <x:c r="AY36" s="32" t="str">
        <x:v>Manual Simulation</x:v>
      </x:c>
      <x:c r="AZ36" s="32" t="str">
        <x:v>2026-07-21 10:37</x:v>
      </x:c>
      <x:c r="BA36" s="32" t="str">
        <x:v>2026-07-21 10:37</x:v>
      </x:c>
      <x:c r="BB36" s="32" t="str">
        <x:v>Yes</x:v>
      </x:c>
      <x:c r="BC36" s="32" t="str">
        <x:v>Yes</x:v>
      </x:c>
      <x:c r="BD36" s="32" t="str"/>
      <x:c r="BE36" s="32" t="str"/>
      <x:c r="BF36" s="32" t="str">
        <x:v>No</x:v>
      </x:c>
      <x:c r="BG36" s="32" t="str">
        <x:v>No</x:v>
      </x:c>
      <x:c r="BH36" s="32" t="n">
        <x:v>0</x:v>
      </x:c>
      <x:c r="BI36" s="32" t="str">
        <x:v>24h</x:v>
      </x:c>
      <x:c r="BJ36" s="32" t="str">
        <x:f>IFERROR(VLOOKUP(B36&amp;"|24h",'COMMENT_RECHECK'!$V$5:$Y$204,4,FALSE),"Pending")</x:f>
        <x:v>No Verified User Reply</x:v>
      </x:c>
      <x:c r="BK36" s="33" t="str">
        <x:f>IF(OR(COUNTIF($B$5:$B$104,B36)&gt;1,AND(T36="Posted",BC36&lt;&gt;"Yes"),AND(OR(BJ36="Verified User Reply",BJ36="Mixed Reply"),Y36="")),"Review","OK")</x:f>
        <x:v>OK</x:v>
      </x:c>
    </x:row>
    <x:row r="37">
      <x:c r="A37" s="49" t="n">
        <x:v>46225</x:v>
      </x:c>
      <x:c r="B37" s="32" t="str">
        <x:v>IC-0033</x:v>
      </x:c>
      <x:c r="C37" s="32" t="str">
        <x:v>Account Slot 3</x:v>
      </x:c>
      <x:c r="D37" s="32" t="str">
        <x:v>Synthetic Display 3</x:v>
      </x:c>
      <x:c r="E37" s="32" t="str">
        <x:v>11:44</x:v>
      </x:c>
      <x:c r="F37" s="32" t="str">
        <x:v>creator_case_033</x:v>
      </x:c>
      <x:c r="G37" s="32" t="str">
        <x:v>Fashion</x:v>
      </x:c>
      <x:c r="H37" s="32" t="str">
        <x:v>https://video.invalid/case/V0033</x:v>
      </x:c>
      <x:c r="I37" s="32" t="str">
        <x:v>เดรสออกงาน</x:v>
      </x:c>
      <x:c r="J37" s="32" t="str">
        <x:v>2026-07-20 18:00</x:v>
      </x:c>
      <x:c r="K37" s="32" t="n">
        <x:v>2184</x:v>
      </x:c>
      <x:c r="L37" s="32" t="n">
        <x:v>186</x:v>
      </x:c>
      <x:c r="M37" s="32" t="str">
        <x:v>Reply</x:v>
      </x:c>
      <x:c r="N37" s="32" t="str">
        <x:v>Synthetic parent</x:v>
      </x:c>
      <x:c r="O37" s="32" t="str">
        <x:v>ลุคทำงานนี้ดูสุภาพและใช้งานจริงได้มากค่ะ ตัวครอบกระดุมโทนมุกแบบในรูปเข้ากับลุคคลีนและไม่ทำให้ชุดดูแน่นเกินไป</x:v>
      </x:c>
      <x:c r="P37" s="32" t="str">
        <x:v>IMG002</x:v>
      </x:c>
      <x:c r="Q37" s="32" t="str">
        <x:v>White shirt with floral fashion-button details at the collar and cuff</x:v>
      </x:c>
      <x:c r="R37" s="32" t="str">
        <x:v>Synthetic context before</x:v>
      </x:c>
      <x:c r="S37" s="32" t="str">
        <x:v>Synthetic context after</x:v>
      </x:c>
      <x:c r="T37" s="32" t="str">
        <x:v>Posted</x:v>
      </x:c>
      <x:c r="U37" s="32" t="str">
        <x:f>IFERROR(VLOOKUP(B37&amp;"|24h",'COMMENT_RECHECK'!$V$5:$Y$204,2,FALSE),"Pending")</x:f>
        <x:v>Visible</x:v>
      </x:c>
      <x:c r="V37" s="32" t="n">
        <x:v>0</x:v>
      </x:c>
      <x:c r="W37" s="32" t="str"/>
      <x:c r="X37" s="32" t="n">
        <x:v>0</x:v>
      </x:c>
      <x:c r="Y37" s="32" t="str">
        <x:v>EVD-SYN-0033-POST</x:v>
      </x:c>
      <x:c r="Z37" s="32" t="str"/>
      <x:c r="AA37" s="32" t="str">
        <x:v>Core</x:v>
      </x:c>
      <x:c r="AB37" s="32" t="str">
        <x:v>N/A</x:v>
      </x:c>
      <x:c r="AC37" s="32" t="str">
        <x:v>Styled</x:v>
      </x:c>
      <x:c r="AD37" s="32" t="str">
        <x:v>TH</x:v>
      </x:c>
      <x:c r="AE37" s="32" t="str">
        <x:v>Yes</x:v>
      </x:c>
      <x:c r="AF37" s="32" t="str">
        <x:v>Standard</x:v>
      </x:c>
      <x:c r="AG37" s="32" t="str">
        <x:v>LIB-013</x:v>
      </x:c>
      <x:c r="AH37" s="32" t="str">
        <x:v>TH</x:v>
      </x:c>
      <x:c r="AI37" s="32" t="str">
        <x:v>Reply</x:v>
      </x:c>
      <x:c r="AJ37" s="32" t="str">
        <x:v>None</x:v>
      </x:c>
      <x:c r="AK37" s="32" t="str">
        <x:v>inputs/product_images/IMG002.png</x:v>
      </x:c>
      <x:c r="AL37" s="32" t="str"/>
      <x:c r="AM37" s="32" t="str">
        <x:v>N/A</x:v>
      </x:c>
      <x:c r="AN37" s="32" t="str">
        <x:v>N/A</x:v>
      </x:c>
      <x:c r="AO37" s="32" t="str"/>
      <x:c r="AP37" s="32" t="str">
        <x:v>No</x:v>
      </x:c>
      <x:c r="AQ37" s="32" t="str">
        <x:v>Not Started</x:v>
      </x:c>
      <x:c r="AR37" s="32" t="str">
        <x:v>N/A</x:v>
      </x:c>
      <x:c r="AS37" s="32" t="str">
        <x:f>IFERROR(VLOOKUP(B37&amp;"|24h",'COMMENT_RECHECK'!$V$5:$Y$204,3,FALSE),"")</x:f>
        <x:v>None</x:v>
      </x:c>
      <x:c r="AT37" s="32" t="str">
        <x:v>[SANITIZED]</x:v>
      </x:c>
      <x:c r="AU37" s="32" t="str">
        <x:v>case_account_03</x:v>
      </x:c>
      <x:c r="AV37" s="32" t="str">
        <x:v>[SANITIZED]</x:v>
      </x:c>
      <x:c r="AW37" s="32" t="str">
        <x:v>[SANITIZED]</x:v>
      </x:c>
      <x:c r="AX37" s="32" t="str">
        <x:v>[SANITIZED]</x:v>
      </x:c>
      <x:c r="AY37" s="32" t="str">
        <x:v>Manual Simulation</x:v>
      </x:c>
      <x:c r="AZ37" s="32" t="str">
        <x:v>2026-07-21 11:44</x:v>
      </x:c>
      <x:c r="BA37" s="32" t="str">
        <x:v>2026-07-21 11:44</x:v>
      </x:c>
      <x:c r="BB37" s="32" t="str">
        <x:v>Yes</x:v>
      </x:c>
      <x:c r="BC37" s="32" t="str">
        <x:v>Yes</x:v>
      </x:c>
      <x:c r="BD37" s="32" t="str"/>
      <x:c r="BE37" s="32" t="str"/>
      <x:c r="BF37" s="32" t="str">
        <x:v>No</x:v>
      </x:c>
      <x:c r="BG37" s="32" t="str">
        <x:v>No</x:v>
      </x:c>
      <x:c r="BH37" s="32" t="n">
        <x:v>0</x:v>
      </x:c>
      <x:c r="BI37" s="32" t="str">
        <x:v>24h</x:v>
      </x:c>
      <x:c r="BJ37" s="32" t="str">
        <x:f>IFERROR(VLOOKUP(B37&amp;"|24h",'COMMENT_RECHECK'!$V$5:$Y$204,4,FALSE),"Pending")</x:f>
        <x:v>No Verified User Reply</x:v>
      </x:c>
      <x:c r="BK37" s="33" t="str">
        <x:f>IF(OR(COUNTIF($B$5:$B$104,B37)&gt;1,AND(T37="Posted",BC37&lt;&gt;"Yes"),AND(OR(BJ37="Verified User Reply",BJ37="Mixed Reply"),Y37="")),"Review","OK")</x:f>
        <x:v>OK</x:v>
      </x:c>
    </x:row>
    <x:row r="38">
      <x:c r="A38" s="49" t="n">
        <x:v>46225</x:v>
      </x:c>
      <x:c r="B38" s="32" t="str">
        <x:v>IC-0034</x:v>
      </x:c>
      <x:c r="C38" s="32" t="str">
        <x:v>Account Slot 4</x:v>
      </x:c>
      <x:c r="D38" s="32" t="str">
        <x:v>Synthetic Display 4</x:v>
      </x:c>
      <x:c r="E38" s="32" t="str">
        <x:v>12:51</x:v>
      </x:c>
      <x:c r="F38" s="32" t="str">
        <x:v>creator_case_034</x:v>
      </x:c>
      <x:c r="G38" s="32" t="str">
        <x:v>DIY</x:v>
      </x:c>
      <x:c r="H38" s="32" t="str">
        <x:v>https://video.invalid/case/V0034</x:v>
      </x:c>
      <x:c r="I38" s="32" t="str">
        <x:v>งานเย็บ DIY</x:v>
      </x:c>
      <x:c r="J38" s="32" t="str">
        <x:v>2026-07-20 18:00</x:v>
      </x:c>
      <x:c r="K38" s="32" t="n">
        <x:v>2221</x:v>
      </x:c>
      <x:c r="L38" s="32" t="n">
        <x:v>189</x:v>
      </x:c>
      <x:c r="M38" s="32" t="str">
        <x:v>Main comment</x:v>
      </x:c>
      <x:c r="N38" s="32" t="str">
        <x:v>Main comment</x:v>
      </x:c>
      <x:c r="O38" s="32" t="str">
        <x:v>ลุคประชุมนี้เรียบหรูและดูนำไปแต่งตามได้จริงค่ะ blazer ทรงนี้ถ้ามีจุดเด่นเล็กแบบในรูป น่าจะดูตั้งใจและจำง่ายขึ้นมากค่ะ</x:v>
      </x:c>
      <x:c r="P38" s="32" t="str">
        <x:v>IMG004</x:v>
      </x:c>
      <x:c r="Q38" s="32" t="str">
        <x:v>Polished black blazer look with pearl and monochrome fashion-button details</x:v>
      </x:c>
      <x:c r="R38" s="32" t="str">
        <x:v>Synthetic context before</x:v>
      </x:c>
      <x:c r="S38" s="32" t="str">
        <x:v>Synthetic context after</x:v>
      </x:c>
      <x:c r="T38" s="32" t="str">
        <x:v>Posted</x:v>
      </x:c>
      <x:c r="U38" s="32" t="str">
        <x:f>IFERROR(VLOOKUP(B38&amp;"|24h",'COMMENT_RECHECK'!$V$5:$Y$204,2,FALSE),"Pending")</x:f>
        <x:v>Visible</x:v>
      </x:c>
      <x:c r="V38" s="32" t="n">
        <x:v>1</x:v>
      </x:c>
      <x:c r="W38" s="32" t="str">
        <x:v>Synthetic reply preview</x:v>
      </x:c>
      <x:c r="X38" s="32" t="n">
        <x:v>0</x:v>
      </x:c>
      <x:c r="Y38" s="32" t="str">
        <x:v>EVD-SYN-0034-POST</x:v>
      </x:c>
      <x:c r="Z38" s="32" t="str"/>
      <x:c r="AA38" s="32" t="str">
        <x:v>Core</x:v>
      </x:c>
      <x:c r="AB38" s="32" t="str">
        <x:v>N/A</x:v>
      </x:c>
      <x:c r="AC38" s="32" t="str">
        <x:v>Neutral</x:v>
      </x:c>
      <x:c r="AD38" s="32" t="str">
        <x:v>TH</x:v>
      </x:c>
      <x:c r="AE38" s="32" t="str">
        <x:v>Yes</x:v>
      </x:c>
      <x:c r="AF38" s="32" t="str">
        <x:v>Standard</x:v>
      </x:c>
      <x:c r="AG38" s="32" t="str">
        <x:v>LIB-014</x:v>
      </x:c>
      <x:c r="AH38" s="32" t="str">
        <x:v>TH</x:v>
      </x:c>
      <x:c r="AI38" s="32" t="str">
        <x:v>Main</x:v>
      </x:c>
      <x:c r="AJ38" s="32" t="str">
        <x:v>None</x:v>
      </x:c>
      <x:c r="AK38" s="32" t="str">
        <x:v>inputs/product_images/IMG004.png</x:v>
      </x:c>
      <x:c r="AL38" s="32" t="str"/>
      <x:c r="AM38" s="32" t="str">
        <x:v>N/A</x:v>
      </x:c>
      <x:c r="AN38" s="32" t="str">
        <x:v>N/A</x:v>
      </x:c>
      <x:c r="AO38" s="32" t="str"/>
      <x:c r="AP38" s="32" t="str">
        <x:v>No</x:v>
      </x:c>
      <x:c r="AQ38" s="32" t="str">
        <x:v>Not Started</x:v>
      </x:c>
      <x:c r="AR38" s="32" t="str">
        <x:v>N/A</x:v>
      </x:c>
      <x:c r="AS38" s="32" t="str">
        <x:f>IFERROR(VLOOKUP(B38&amp;"|24h",'COMMENT_RECHECK'!$V$5:$Y$204,3,FALSE),"")</x:f>
        <x:v>Creator</x:v>
      </x:c>
      <x:c r="AT38" s="32" t="str">
        <x:v>[SANITIZED]</x:v>
      </x:c>
      <x:c r="AU38" s="32" t="str">
        <x:v>case_account_04</x:v>
      </x:c>
      <x:c r="AV38" s="32" t="str">
        <x:v>[SANITIZED]</x:v>
      </x:c>
      <x:c r="AW38" s="32" t="str">
        <x:v>[SANITIZED]</x:v>
      </x:c>
      <x:c r="AX38" s="32" t="str">
        <x:v>[SANITIZED]</x:v>
      </x:c>
      <x:c r="AY38" s="32" t="str">
        <x:v>Manual Simulation</x:v>
      </x:c>
      <x:c r="AZ38" s="32" t="str">
        <x:v>2026-07-21 12:51</x:v>
      </x:c>
      <x:c r="BA38" s="32" t="str">
        <x:v>2026-07-21 12:51</x:v>
      </x:c>
      <x:c r="BB38" s="32" t="str">
        <x:v>Yes</x:v>
      </x:c>
      <x:c r="BC38" s="32" t="str">
        <x:v>Yes</x:v>
      </x:c>
      <x:c r="BD38" s="32" t="str"/>
      <x:c r="BE38" s="32" t="str"/>
      <x:c r="BF38" s="32" t="str">
        <x:v>No</x:v>
      </x:c>
      <x:c r="BG38" s="32" t="str">
        <x:v>No</x:v>
      </x:c>
      <x:c r="BH38" s="32" t="n">
        <x:v>0</x:v>
      </x:c>
      <x:c r="BI38" s="32" t="str">
        <x:v>24h</x:v>
      </x:c>
      <x:c r="BJ38" s="32" t="str">
        <x:f>IFERROR(VLOOKUP(B38&amp;"|24h",'COMMENT_RECHECK'!$V$5:$Y$204,4,FALSE),"Pending")</x:f>
        <x:v>No Verified User Reply</x:v>
      </x:c>
      <x:c r="BK38" s="33" t="str">
        <x:f>IF(OR(COUNTIF($B$5:$B$104,B38)&gt;1,AND(T38="Posted",BC38&lt;&gt;"Yes"),AND(OR(BJ38="Verified User Reply",BJ38="Mixed Reply"),Y38="")),"Review","OK")</x:f>
        <x:v>OK</x:v>
      </x:c>
    </x:row>
    <x:row r="39">
      <x:c r="A39" s="49" t="n">
        <x:v>46225</x:v>
      </x:c>
      <x:c r="B39" s="32" t="str">
        <x:v>IC-0035</x:v>
      </x:c>
      <x:c r="C39" s="32" t="str">
        <x:v>Account Slot 5</x:v>
      </x:c>
      <x:c r="D39" s="32" t="str">
        <x:v>Synthetic Display 5</x:v>
      </x:c>
      <x:c r="E39" s="32" t="str">
        <x:v>13:58</x:v>
      </x:c>
      <x:c r="F39" s="32" t="str">
        <x:v>creator_case_035</x:v>
      </x:c>
      <x:c r="G39" s="32" t="str">
        <x:v>Lifestyle</x:v>
      </x:c>
      <x:c r="H39" s="32" t="str">
        <x:v>https://video.invalid/case/V0035</x:v>
      </x:c>
      <x:c r="I39" s="32" t="str">
        <x:v>การซ่อมเสื้อ</x:v>
      </x:c>
      <x:c r="J39" s="32" t="str">
        <x:v>2026-07-20 18:00</x:v>
      </x:c>
      <x:c r="K39" s="32" t="n">
        <x:v>2258</x:v>
      </x:c>
      <x:c r="L39" s="32" t="n">
        <x:v>192</x:v>
      </x:c>
      <x:c r="M39" s="32" t="str">
        <x:v>Main comment</x:v>
      </x:c>
      <x:c r="N39" s="32" t="str">
        <x:v>Main comment</x:v>
      </x:c>
      <x:c r="O39" s="32" t="str">
        <x:v>เชิ้ตทรงนี้ดูเรียบร้อยและแมตช์ต่อได้ง่ายมากค่ะ พอมีตัวครอบกระดุมชิ้นเล็กแบบในรูป ช่วงคอกับข้อมือก็ดูตั้งใจขึ้นทันที</x:v>
      </x:c>
      <x:c r="P39" s="32" t="str">
        <x:v>IMG002</x:v>
      </x:c>
      <x:c r="Q39" s="32" t="str">
        <x:v>White shirt with floral fashion-button details at the collar and cuff</x:v>
      </x:c>
      <x:c r="R39" s="32" t="str">
        <x:v>Synthetic context before</x:v>
      </x:c>
      <x:c r="S39" s="32" t="str">
        <x:v>Synthetic context after</x:v>
      </x:c>
      <x:c r="T39" s="32" t="str">
        <x:v>Posted</x:v>
      </x:c>
      <x:c r="U39" s="32" t="str">
        <x:f>IFERROR(VLOOKUP(B39&amp;"|24h",'COMMENT_RECHECK'!$V$5:$Y$204,2,FALSE),"Pending")</x:f>
        <x:v>Visible</x:v>
      </x:c>
      <x:c r="V39" s="32" t="n">
        <x:v>0</x:v>
      </x:c>
      <x:c r="W39" s="32" t="str"/>
      <x:c r="X39" s="32" t="n">
        <x:v>0</x:v>
      </x:c>
      <x:c r="Y39" s="32" t="str">
        <x:v>EVD-SYN-0035-POST</x:v>
      </x:c>
      <x:c r="Z39" s="32" t="str"/>
      <x:c r="AA39" s="32" t="str">
        <x:v>Core</x:v>
      </x:c>
      <x:c r="AB39" s="32" t="str">
        <x:v>N/A</x:v>
      </x:c>
      <x:c r="AC39" s="32" t="str">
        <x:v>Styled</x:v>
      </x:c>
      <x:c r="AD39" s="32" t="str">
        <x:v>TH</x:v>
      </x:c>
      <x:c r="AE39" s="32" t="str">
        <x:v>Yes</x:v>
      </x:c>
      <x:c r="AF39" s="32" t="str">
        <x:v>Standard</x:v>
      </x:c>
      <x:c r="AG39" s="32" t="str">
        <x:v>LIB-015</x:v>
      </x:c>
      <x:c r="AH39" s="32" t="str">
        <x:v>TH</x:v>
      </x:c>
      <x:c r="AI39" s="32" t="str">
        <x:v>Main</x:v>
      </x:c>
      <x:c r="AJ39" s="32" t="str">
        <x:v>None</x:v>
      </x:c>
      <x:c r="AK39" s="32" t="str">
        <x:v>inputs/product_images/IMG002.png</x:v>
      </x:c>
      <x:c r="AL39" s="32" t="str"/>
      <x:c r="AM39" s="32" t="str">
        <x:v>N/A</x:v>
      </x:c>
      <x:c r="AN39" s="32" t="str">
        <x:v>N/A</x:v>
      </x:c>
      <x:c r="AO39" s="32" t="str"/>
      <x:c r="AP39" s="32" t="str">
        <x:v>No</x:v>
      </x:c>
      <x:c r="AQ39" s="32" t="str">
        <x:v>Not Started</x:v>
      </x:c>
      <x:c r="AR39" s="32" t="str">
        <x:v>N/A</x:v>
      </x:c>
      <x:c r="AS39" s="32" t="str">
        <x:f>IFERROR(VLOOKUP(B39&amp;"|24h",'COMMENT_RECHECK'!$V$5:$Y$204,3,FALSE),"")</x:f>
        <x:v>None</x:v>
      </x:c>
      <x:c r="AT39" s="32" t="str">
        <x:v>[SANITIZED]</x:v>
      </x:c>
      <x:c r="AU39" s="32" t="str">
        <x:v>case_account_05</x:v>
      </x:c>
      <x:c r="AV39" s="32" t="str">
        <x:v>[SANITIZED]</x:v>
      </x:c>
      <x:c r="AW39" s="32" t="str">
        <x:v>[SANITIZED]</x:v>
      </x:c>
      <x:c r="AX39" s="32" t="str">
        <x:v>[SANITIZED]</x:v>
      </x:c>
      <x:c r="AY39" s="32" t="str">
        <x:v>Manual Simulation</x:v>
      </x:c>
      <x:c r="AZ39" s="32" t="str">
        <x:v>2026-07-21 13:58</x:v>
      </x:c>
      <x:c r="BA39" s="32" t="str">
        <x:v>2026-07-21 13:58</x:v>
      </x:c>
      <x:c r="BB39" s="32" t="str">
        <x:v>Yes</x:v>
      </x:c>
      <x:c r="BC39" s="32" t="str">
        <x:v>Yes</x:v>
      </x:c>
      <x:c r="BD39" s="32" t="str"/>
      <x:c r="BE39" s="32" t="str"/>
      <x:c r="BF39" s="32" t="str">
        <x:v>No</x:v>
      </x:c>
      <x:c r="BG39" s="32" t="str">
        <x:v>No</x:v>
      </x:c>
      <x:c r="BH39" s="32" t="n">
        <x:v>0</x:v>
      </x:c>
      <x:c r="BI39" s="32" t="str">
        <x:v>24h</x:v>
      </x:c>
      <x:c r="BJ39" s="32" t="str">
        <x:f>IFERROR(VLOOKUP(B39&amp;"|24h",'COMMENT_RECHECK'!$V$5:$Y$204,4,FALSE),"Pending")</x:f>
        <x:v>No Verified User Reply</x:v>
      </x:c>
      <x:c r="BK39" s="33" t="str">
        <x:f>IF(OR(COUNTIF($B$5:$B$104,B39)&gt;1,AND(T39="Posted",BC39&lt;&gt;"Yes"),AND(OR(BJ39="Verified User Reply",BJ39="Mixed Reply"),Y39="")),"Review","OK")</x:f>
        <x:v>OK</x:v>
      </x:c>
    </x:row>
    <x:row r="40">
      <x:c r="A40" s="49" t="n">
        <x:v>46225</x:v>
      </x:c>
      <x:c r="B40" s="32" t="str">
        <x:v>IC-0036</x:v>
      </x:c>
      <x:c r="C40" s="32" t="str">
        <x:v>Account Slot 6</x:v>
      </x:c>
      <x:c r="D40" s="32" t="str">
        <x:v>Synthetic Display 6</x:v>
      </x:c>
      <x:c r="E40" s="32" t="str">
        <x:v>14:05</x:v>
      </x:c>
      <x:c r="F40" s="32" t="str">
        <x:v>creator_case_036</x:v>
      </x:c>
      <x:c r="G40" s="32" t="str">
        <x:v>Tailoring</x:v>
      </x:c>
      <x:c r="H40" s="32" t="str">
        <x:v>https://video.invalid/case/V0036</x:v>
      </x:c>
      <x:c r="I40" s="32" t="str">
        <x:v>แฟชั่นวินเทจ</x:v>
      </x:c>
      <x:c r="J40" s="32" t="str">
        <x:v>2026-07-20 18:00</x:v>
      </x:c>
      <x:c r="K40" s="32" t="n">
        <x:v>2295</x:v>
      </x:c>
      <x:c r="L40" s="32" t="n">
        <x:v>195</x:v>
      </x:c>
      <x:c r="M40" s="32" t="str">
        <x:v>Main comment</x:v>
      </x:c>
      <x:c r="N40" s="32" t="str">
        <x:v>Main comment</x:v>
      </x:c>
      <x:c r="O40" s="32" t="str">
        <x:v>ภาพรวมของ office look นี้ดูตั้งใจแบบไม่เยอะเกินไปค่ะ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40" s="32" t="str">
        <x:v>IMG002</x:v>
      </x:c>
      <x:c r="Q40" s="32" t="str">
        <x:v>White shirt with floral fashion-button details at the collar and cuff</x:v>
      </x:c>
      <x:c r="R40" s="32" t="str">
        <x:v>Synthetic context before</x:v>
      </x:c>
      <x:c r="S40" s="32" t="str">
        <x:v>Synthetic context after</x:v>
      </x:c>
      <x:c r="T40" s="32" t="str">
        <x:v>Posted</x:v>
      </x:c>
      <x:c r="U40" s="32" t="str">
        <x:f>IFERROR(VLOOKUP(B40&amp;"|24h",'COMMENT_RECHECK'!$V$5:$Y$204,2,FALSE),"Pending")</x:f>
        <x:v>Missing</x:v>
      </x:c>
      <x:c r="V40" s="32" t="n">
        <x:v>0</x:v>
      </x:c>
      <x:c r="W40" s="32" t="str"/>
      <x:c r="X40" s="32" t="n">
        <x:v>0</x:v>
      </x:c>
      <x:c r="Y40" s="32" t="str">
        <x:v>EVD-SYN-0036-POST</x:v>
      </x:c>
      <x:c r="Z40" s="32" t="str"/>
      <x:c r="AA40" s="32" t="str">
        <x:v>Core</x:v>
      </x:c>
      <x:c r="AB40" s="32" t="str">
        <x:v>N/A</x:v>
      </x:c>
      <x:c r="AC40" s="32" t="str">
        <x:v>Neutral</x:v>
      </x:c>
      <x:c r="AD40" s="32" t="str">
        <x:v>TH</x:v>
      </x:c>
      <x:c r="AE40" s="32" t="str">
        <x:v>Yes</x:v>
      </x:c>
      <x:c r="AF40" s="32" t="str">
        <x:v>Standard</x:v>
      </x:c>
      <x:c r="AG40" s="32" t="str">
        <x:v>LIB-016</x:v>
      </x:c>
      <x:c r="AH40" s="32" t="str">
        <x:v>TH</x:v>
      </x:c>
      <x:c r="AI40" s="32" t="str">
        <x:v>Main</x:v>
      </x:c>
      <x:c r="AJ40" s="32" t="str">
        <x:v>None</x:v>
      </x:c>
      <x:c r="AK40" s="32" t="str">
        <x:v>inputs/product_images/IMG002.png</x:v>
      </x:c>
      <x:c r="AL40" s="32" t="str"/>
      <x:c r="AM40" s="32" t="str">
        <x:v>N/A</x:v>
      </x:c>
      <x:c r="AN40" s="32" t="str">
        <x:v>N/A</x:v>
      </x:c>
      <x:c r="AO40" s="32" t="str"/>
      <x:c r="AP40" s="32" t="str">
        <x:v>No</x:v>
      </x:c>
      <x:c r="AQ40" s="32" t="str">
        <x:v>Not Started</x:v>
      </x:c>
      <x:c r="AR40" s="32" t="str">
        <x:v>N/A</x:v>
      </x:c>
      <x:c r="AS40" s="32" t="str">
        <x:f>IFERROR(VLOOKUP(B40&amp;"|24h",'COMMENT_RECHECK'!$V$5:$Y$204,3,FALSE),"")</x:f>
        <x:v>None</x:v>
      </x:c>
      <x:c r="AT40" s="32" t="str">
        <x:v>[SANITIZED]</x:v>
      </x:c>
      <x:c r="AU40" s="32" t="str">
        <x:v>case_account_06</x:v>
      </x:c>
      <x:c r="AV40" s="32" t="str">
        <x:v>[SANITIZED]</x:v>
      </x:c>
      <x:c r="AW40" s="32" t="str">
        <x:v>[SANITIZED]</x:v>
      </x:c>
      <x:c r="AX40" s="32" t="str">
        <x:v>[SANITIZED]</x:v>
      </x:c>
      <x:c r="AY40" s="32" t="str">
        <x:v>Manual Simulation</x:v>
      </x:c>
      <x:c r="AZ40" s="32" t="str">
        <x:v>2026-07-21 14:05</x:v>
      </x:c>
      <x:c r="BA40" s="32" t="str">
        <x:v>2026-07-21 14:05</x:v>
      </x:c>
      <x:c r="BB40" s="32" t="str">
        <x:v>Yes</x:v>
      </x:c>
      <x:c r="BC40" s="32" t="str">
        <x:v>Yes</x:v>
      </x:c>
      <x:c r="BD40" s="32" t="str"/>
      <x:c r="BE40" s="32" t="str"/>
      <x:c r="BF40" s="32" t="str">
        <x:v>No</x:v>
      </x:c>
      <x:c r="BG40" s="32" t="str">
        <x:v>No</x:v>
      </x:c>
      <x:c r="BH40" s="32" t="n">
        <x:v>0</x:v>
      </x:c>
      <x:c r="BI40" s="32" t="str">
        <x:v>24h</x:v>
      </x:c>
      <x:c r="BJ40" s="32" t="str">
        <x:f>IFERROR(VLOOKUP(B40&amp;"|24h",'COMMENT_RECHECK'!$V$5:$Y$204,4,FALSE),"Pending")</x:f>
        <x:v>No Verified User Reply</x:v>
      </x:c>
      <x:c r="BK40" s="33" t="str">
        <x:f>IF(OR(COUNTIF($B$5:$B$104,B40)&gt;1,AND(T40="Posted",BC40&lt;&gt;"Yes"),AND(OR(BJ40="Verified User Reply",BJ40="Mixed Reply"),Y40="")),"Review","OK")</x:f>
        <x:v>OK</x:v>
      </x:c>
    </x:row>
    <x:row r="41">
      <x:c r="A41" s="49" t="n">
        <x:v>46225</x:v>
      </x:c>
      <x:c r="B41" s="32" t="str">
        <x:v>IC-0037</x:v>
      </x:c>
      <x:c r="C41" s="32" t="str">
        <x:v>Account Slot 7</x:v>
      </x:c>
      <x:c r="D41" s="32" t="str">
        <x:v>Synthetic Display 7</x:v>
      </x:c>
      <x:c r="E41" s="32" t="str">
        <x:v>15:12</x:v>
      </x:c>
      <x:c r="F41" s="32" t="str">
        <x:v>creator_case_037</x:v>
      </x:c>
      <x:c r="G41" s="32" t="str">
        <x:v>Fashion</x:v>
      </x:c>
      <x:c r="H41" s="32" t="str">
        <x:v>https://video.invalid/case/V0037</x:v>
      </x:c>
      <x:c r="I41" s="32" t="str">
        <x:v>เสื้อเด็ก</x:v>
      </x:c>
      <x:c r="J41" s="32" t="str">
        <x:v>2026-07-20 18:00</x:v>
      </x:c>
      <x:c r="K41" s="32" t="n">
        <x:v>2332</x:v>
      </x:c>
      <x:c r="L41" s="32" t="n">
        <x:v>198</x:v>
      </x:c>
      <x:c r="M41" s="32" t="str">
        <x:v>Reply</x:v>
      </x:c>
      <x:c r="N41" s="32" t="str">
        <x:v>Synthetic parent</x:v>
      </x:c>
      <x:c r="O41" s="32" t="str">
        <x:v>คาร์ดิแกนลุคนี้ให้มู้ดละมุนและดูใส่สบายมากค่ะ รายละเอียดเล็กบนปกแบบในรูปช่วยเพิ่มคาแรกเตอร์ให้ลุคประชุมโดยยังดูสุภาพค่ะ</x:v>
      </x:c>
      <x:c r="P41" s="32" t="str">
        <x:v>IMG004</x:v>
      </x:c>
      <x:c r="Q41" s="32" t="str">
        <x:v>Polished black blazer look with pearl and monochrome fashion-button details</x:v>
      </x:c>
      <x:c r="R41" s="32" t="str">
        <x:v>Synthetic context before</x:v>
      </x:c>
      <x:c r="S41" s="32" t="str">
        <x:v>Synthetic context after</x:v>
      </x:c>
      <x:c r="T41" s="32" t="str">
        <x:v>Posted</x:v>
      </x:c>
      <x:c r="U41" s="32" t="str">
        <x:f>IFERROR(VLOOKUP(B41&amp;"|24h",'COMMENT_RECHECK'!$V$5:$Y$204,2,FALSE),"Pending")</x:f>
        <x:v>Visible</x:v>
      </x:c>
      <x:c r="V41" s="32" t="n">
        <x:v>0</x:v>
      </x:c>
      <x:c r="W41" s="32" t="str"/>
      <x:c r="X41" s="32" t="n">
        <x:v>0</x:v>
      </x:c>
      <x:c r="Y41" s="32" t="str">
        <x:v>EVD-SYN-0037-POST</x:v>
      </x:c>
      <x:c r="Z41" s="32" t="str"/>
      <x:c r="AA41" s="32" t="str">
        <x:v>Core</x:v>
      </x:c>
      <x:c r="AB41" s="32" t="str">
        <x:v>N/A</x:v>
      </x:c>
      <x:c r="AC41" s="32" t="str">
        <x:v>Styled</x:v>
      </x:c>
      <x:c r="AD41" s="32" t="str">
        <x:v>TH</x:v>
      </x:c>
      <x:c r="AE41" s="32" t="str">
        <x:v>Yes</x:v>
      </x:c>
      <x:c r="AF41" s="32" t="str">
        <x:v>Standard</x:v>
      </x:c>
      <x:c r="AG41" s="32" t="str">
        <x:v>LIB-017</x:v>
      </x:c>
      <x:c r="AH41" s="32" t="str">
        <x:v>TH</x:v>
      </x:c>
      <x:c r="AI41" s="32" t="str">
        <x:v>Reply</x:v>
      </x:c>
      <x:c r="AJ41" s="32" t="str">
        <x:v>Reference</x:v>
      </x:c>
      <x:c r="AK41" s="32" t="str">
        <x:v>inputs/product_images/IMG004.png</x:v>
      </x:c>
      <x:c r="AL41" s="32" t="str"/>
      <x:c r="AM41" s="32" t="str">
        <x:v>Yes</x:v>
      </x:c>
      <x:c r="AN41" s="32" t="str">
        <x:v>Complete</x:v>
      </x:c>
      <x:c r="AO41" s="32" t="str"/>
      <x:c r="AP41" s="32" t="str">
        <x:v>No</x:v>
      </x:c>
      <x:c r="AQ41" s="32" t="str">
        <x:v>Not Started</x:v>
      </x:c>
      <x:c r="AR41" s="32" t="str">
        <x:v>Fit</x:v>
      </x:c>
      <x:c r="AS41" s="32" t="str">
        <x:f>IFERROR(VLOOKUP(B41&amp;"|24h",'COMMENT_RECHECK'!$V$5:$Y$204,3,FALSE),"")</x:f>
        <x:v>None</x:v>
      </x:c>
      <x:c r="AT41" s="32" t="str">
        <x:v>[SANITIZED]</x:v>
      </x:c>
      <x:c r="AU41" s="32" t="str">
        <x:v>case_account_07</x:v>
      </x:c>
      <x:c r="AV41" s="32" t="str">
        <x:v>[SANITIZED]</x:v>
      </x:c>
      <x:c r="AW41" s="32" t="str">
        <x:v>[SANITIZED]</x:v>
      </x:c>
      <x:c r="AX41" s="32" t="str">
        <x:v>[SANITIZED]</x:v>
      </x:c>
      <x:c r="AY41" s="32" t="str">
        <x:v>Manual Simulation</x:v>
      </x:c>
      <x:c r="AZ41" s="32" t="str">
        <x:v>2026-07-21 15:12</x:v>
      </x:c>
      <x:c r="BA41" s="32" t="str">
        <x:v>2026-07-21 15:12</x:v>
      </x:c>
      <x:c r="BB41" s="32" t="str">
        <x:v>Yes</x:v>
      </x:c>
      <x:c r="BC41" s="32" t="str">
        <x:v>Yes</x:v>
      </x:c>
      <x:c r="BD41" s="32" t="str"/>
      <x:c r="BE41" s="32" t="str"/>
      <x:c r="BF41" s="32" t="str">
        <x:v>No</x:v>
      </x:c>
      <x:c r="BG41" s="32" t="str">
        <x:v>No</x:v>
      </x:c>
      <x:c r="BH41" s="32" t="n">
        <x:v>0</x:v>
      </x:c>
      <x:c r="BI41" s="32" t="str">
        <x:v>24h</x:v>
      </x:c>
      <x:c r="BJ41" s="32" t="str">
        <x:f>IFERROR(VLOOKUP(B41&amp;"|24h",'COMMENT_RECHECK'!$V$5:$Y$204,4,FALSE),"Pending")</x:f>
        <x:v>No Verified User Reply</x:v>
      </x:c>
      <x:c r="BK41" s="33" t="str">
        <x:f>IF(OR(COUNTIF($B$5:$B$104,B41)&gt;1,AND(T41="Posted",BC41&lt;&gt;"Yes"),AND(OR(BJ41="Verified User Reply",BJ41="Mixed Reply"),Y41="")),"Review","OK")</x:f>
        <x:v>OK</x:v>
      </x:c>
    </x:row>
    <x:row r="42">
      <x:c r="A42" s="49" t="n">
        <x:v>46225</x:v>
      </x:c>
      <x:c r="B42" s="32" t="str">
        <x:v>IC-0038</x:v>
      </x:c>
      <x:c r="C42" s="32" t="str">
        <x:v>Account Slot 8</x:v>
      </x:c>
      <x:c r="D42" s="32" t="str">
        <x:v>Synthetic Display 8</x:v>
      </x:c>
      <x:c r="E42" s="32" t="str">
        <x:v>16:19</x:v>
      </x:c>
      <x:c r="F42" s="32" t="str">
        <x:v>creator_case_038</x:v>
      </x:c>
      <x:c r="G42" s="32" t="str">
        <x:v>DIY</x:v>
      </x:c>
      <x:c r="H42" s="32" t="str">
        <x:v>https://video.invalid/case/V0038</x:v>
      </x:c>
      <x:c r="I42" s="32" t="str">
        <x:v>เสื้อคลุม</x:v>
      </x:c>
      <x:c r="J42" s="32" t="str">
        <x:v>2026-07-20 18:00</x:v>
      </x:c>
      <x:c r="K42" s="32" t="n">
        <x:v>2369</x:v>
      </x:c>
      <x:c r="L42" s="32" t="n">
        <x:v>201</x:v>
      </x:c>
      <x:c r="M42" s="32" t="str">
        <x:v>Main comment</x:v>
      </x:c>
      <x:c r="N42" s="32" t="str">
        <x:v>Main comment</x:v>
      </x:c>
      <x:c r="O42" s="32" t="str">
        <x:v>เบลเซอร์ลุคนี้ดูโปรและคุมโทนได้ดีมากค่ะ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P42" s="32" t="str">
        <x:v>IMG004</x:v>
      </x:c>
      <x:c r="Q42" s="32" t="str">
        <x:v>Polished black blazer look with pearl and monochrome fashion-button details</x:v>
      </x:c>
      <x:c r="R42" s="32" t="str">
        <x:v>Synthetic context before</x:v>
      </x:c>
      <x:c r="S42" s="32" t="str">
        <x:v>Synthetic context after</x:v>
      </x:c>
      <x:c r="T42" s="32" t="str">
        <x:v>Posted</x:v>
      </x:c>
      <x:c r="U42" s="32" t="str">
        <x:f>IFERROR(VLOOKUP(B42&amp;"|24h",'COMMENT_RECHECK'!$V$5:$Y$204,2,FALSE),"Pending")</x:f>
        <x:v>Visible</x:v>
      </x:c>
      <x:c r="V42" s="32" t="n">
        <x:v>0</x:v>
      </x:c>
      <x:c r="W42" s="32" t="str"/>
      <x:c r="X42" s="32" t="n">
        <x:v>0</x:v>
      </x:c>
      <x:c r="Y42" s="32" t="str">
        <x:v>EVD-SYN-0038-POST</x:v>
      </x:c>
      <x:c r="Z42" s="32" t="str"/>
      <x:c r="AA42" s="32" t="str">
        <x:v>Core</x:v>
      </x:c>
      <x:c r="AB42" s="32" t="str">
        <x:v>N/A</x:v>
      </x:c>
      <x:c r="AC42" s="32" t="str">
        <x:v>Neutral</x:v>
      </x:c>
      <x:c r="AD42" s="32" t="str">
        <x:v>TH</x:v>
      </x:c>
      <x:c r="AE42" s="32" t="str">
        <x:v>Yes</x:v>
      </x:c>
      <x:c r="AF42" s="32" t="str">
        <x:v>Standard</x:v>
      </x:c>
      <x:c r="AG42" s="32" t="str">
        <x:v>LIB-018</x:v>
      </x:c>
      <x:c r="AH42" s="32" t="str">
        <x:v>TH</x:v>
      </x:c>
      <x:c r="AI42" s="32" t="str">
        <x:v>Main</x:v>
      </x:c>
      <x:c r="AJ42" s="32" t="str">
        <x:v>None</x:v>
      </x:c>
      <x:c r="AK42" s="32" t="str">
        <x:v>inputs/product_images/IMG004.png</x:v>
      </x:c>
      <x:c r="AL42" s="32" t="str"/>
      <x:c r="AM42" s="32" t="str">
        <x:v>N/A</x:v>
      </x:c>
      <x:c r="AN42" s="32" t="str">
        <x:v>N/A</x:v>
      </x:c>
      <x:c r="AO42" s="32" t="str"/>
      <x:c r="AP42" s="32" t="str">
        <x:v>No</x:v>
      </x:c>
      <x:c r="AQ42" s="32" t="str">
        <x:v>Not Started</x:v>
      </x:c>
      <x:c r="AR42" s="32" t="str">
        <x:v>N/A</x:v>
      </x:c>
      <x:c r="AS42" s="32" t="str">
        <x:f>IFERROR(VLOOKUP(B42&amp;"|24h",'COMMENT_RECHECK'!$V$5:$Y$204,3,FALSE),"")</x:f>
        <x:v>None</x:v>
      </x:c>
      <x:c r="AT42" s="32" t="str">
        <x:v>[SANITIZED]</x:v>
      </x:c>
      <x:c r="AU42" s="32" t="str">
        <x:v>case_account_08</x:v>
      </x:c>
      <x:c r="AV42" s="32" t="str">
        <x:v>[SANITIZED]</x:v>
      </x:c>
      <x:c r="AW42" s="32" t="str">
        <x:v>[SANITIZED]</x:v>
      </x:c>
      <x:c r="AX42" s="32" t="str">
        <x:v>[SANITIZED]</x:v>
      </x:c>
      <x:c r="AY42" s="32" t="str">
        <x:v>Manual Simulation</x:v>
      </x:c>
      <x:c r="AZ42" s="32" t="str">
        <x:v>2026-07-21 16:19</x:v>
      </x:c>
      <x:c r="BA42" s="32" t="str">
        <x:v>2026-07-21 16:19</x:v>
      </x:c>
      <x:c r="BB42" s="32" t="str">
        <x:v>Yes</x:v>
      </x:c>
      <x:c r="BC42" s="32" t="str">
        <x:v>Yes</x:v>
      </x:c>
      <x:c r="BD42" s="32" t="str"/>
      <x:c r="BE42" s="32" t="str"/>
      <x:c r="BF42" s="32" t="str">
        <x:v>No</x:v>
      </x:c>
      <x:c r="BG42" s="32" t="str">
        <x:v>No</x:v>
      </x:c>
      <x:c r="BH42" s="32" t="n">
        <x:v>0</x:v>
      </x:c>
      <x:c r="BI42" s="32" t="str">
        <x:v>24h</x:v>
      </x:c>
      <x:c r="BJ42" s="32" t="str">
        <x:f>IFERROR(VLOOKUP(B42&amp;"|24h",'COMMENT_RECHECK'!$V$5:$Y$204,4,FALSE),"Pending")</x:f>
        <x:v>No Verified User Reply</x:v>
      </x:c>
      <x:c r="BK42" s="33" t="str">
        <x:f>IF(OR(COUNTIF($B$5:$B$104,B42)&gt;1,AND(T42="Posted",BC42&lt;&gt;"Yes"),AND(OR(BJ42="Verified User Reply",BJ42="Mixed Reply"),Y42="")),"Review","OK")</x:f>
        <x:v>OK</x:v>
      </x:c>
    </x:row>
    <x:row r="43">
      <x:c r="A43" s="49" t="n">
        <x:v>46225</x:v>
      </x:c>
      <x:c r="B43" s="32" t="str">
        <x:v>IC-0039</x:v>
      </x:c>
      <x:c r="C43" s="32" t="str">
        <x:v>Account Slot 9</x:v>
      </x:c>
      <x:c r="D43" s="32" t="str">
        <x:v>Synthetic Display 9</x:v>
      </x:c>
      <x:c r="E43" s="32" t="str">
        <x:v>17:26</x:v>
      </x:c>
      <x:c r="F43" s="32" t="str">
        <x:v>creator_case_039</x:v>
      </x:c>
      <x:c r="G43" s="32" t="str">
        <x:v>Lifestyle</x:v>
      </x:c>
      <x:c r="H43" s="32" t="str">
        <x:v>https://video.invalid/case/V0039</x:v>
      </x:c>
      <x:c r="I43" s="32" t="str">
        <x:v>การจับคู่สี</x:v>
      </x:c>
      <x:c r="J43" s="32" t="str">
        <x:v>2026-07-20 18:00</x:v>
      </x:c>
      <x:c r="K43" s="32" t="n">
        <x:v>2406</x:v>
      </x:c>
      <x:c r="L43" s="32" t="n">
        <x:v>204</x:v>
      </x:c>
      <x:c r="M43" s="32" t="str">
        <x:v>Main comment</x:v>
      </x:c>
      <x:c r="N43" s="32" t="str">
        <x:v>Main comment</x:v>
      </x:c>
      <x:c r="O43" s="32" t="str">
        <x:v>คาดิแกนตัวนี้ดูแมตช์ง่ายและใช้ได้หลายมู้ดมาก ลูกเล่นตรงแนวกระดุมแบบในรูปเพิ่มความหวานให้ลุคโดยยังดูสุภาพอยู่ค่ะ</x:v>
      </x:c>
      <x:c r="P43" s="32" t="str">
        <x:v>IMG002</x:v>
      </x:c>
      <x:c r="Q43" s="32" t="str">
        <x:v>White shirt with floral fashion-button details at the collar and cuff</x:v>
      </x:c>
      <x:c r="R43" s="32" t="str">
        <x:v>Synthetic context before</x:v>
      </x:c>
      <x:c r="S43" s="32" t="str">
        <x:v>Synthetic context after</x:v>
      </x:c>
      <x:c r="T43" s="32" t="str">
        <x:v>Posted</x:v>
      </x:c>
      <x:c r="U43" s="32" t="str">
        <x:f>IFERROR(VLOOKUP(B43&amp;"|24h",'COMMENT_RECHECK'!$V$5:$Y$204,2,FALSE),"Pending")</x:f>
        <x:v>Visible</x:v>
      </x:c>
      <x:c r="V43" s="32" t="n">
        <x:v>0</x:v>
      </x:c>
      <x:c r="W43" s="32" t="str"/>
      <x:c r="X43" s="32" t="n">
        <x:v>0</x:v>
      </x:c>
      <x:c r="Y43" s="32" t="str">
        <x:v>EVD-SYN-0039-POST</x:v>
      </x:c>
      <x:c r="Z43" s="32" t="str"/>
      <x:c r="AA43" s="32" t="str">
        <x:v>Core</x:v>
      </x:c>
      <x:c r="AB43" s="32" t="str">
        <x:v>N/A</x:v>
      </x:c>
      <x:c r="AC43" s="32" t="str">
        <x:v>Styled</x:v>
      </x:c>
      <x:c r="AD43" s="32" t="str">
        <x:v>TH</x:v>
      </x:c>
      <x:c r="AE43" s="32" t="str">
        <x:v>Yes</x:v>
      </x:c>
      <x:c r="AF43" s="32" t="str">
        <x:v>Standard</x:v>
      </x:c>
      <x:c r="AG43" s="32" t="str">
        <x:v>LIB-019</x:v>
      </x:c>
      <x:c r="AH43" s="32" t="str">
        <x:v>TH</x:v>
      </x:c>
      <x:c r="AI43" s="32" t="str">
        <x:v>Main</x:v>
      </x:c>
      <x:c r="AJ43" s="32" t="str">
        <x:v>None</x:v>
      </x:c>
      <x:c r="AK43" s="32" t="str">
        <x:v>inputs/product_images/IMG002.png</x:v>
      </x:c>
      <x:c r="AL43" s="32" t="str"/>
      <x:c r="AM43" s="32" t="str">
        <x:v>N/A</x:v>
      </x:c>
      <x:c r="AN43" s="32" t="str">
        <x:v>N/A</x:v>
      </x:c>
      <x:c r="AO43" s="32" t="str"/>
      <x:c r="AP43" s="32" t="str">
        <x:v>No</x:v>
      </x:c>
      <x:c r="AQ43" s="32" t="str">
        <x:v>Not Started</x:v>
      </x:c>
      <x:c r="AR43" s="32" t="str">
        <x:v>N/A</x:v>
      </x:c>
      <x:c r="AS43" s="32" t="str">
        <x:f>IFERROR(VLOOKUP(B43&amp;"|24h",'COMMENT_RECHECK'!$V$5:$Y$204,3,FALSE),"")</x:f>
        <x:v>None</x:v>
      </x:c>
      <x:c r="AT43" s="32" t="str">
        <x:v>[SANITIZED]</x:v>
      </x:c>
      <x:c r="AU43" s="32" t="str">
        <x:v>case_account_09</x:v>
      </x:c>
      <x:c r="AV43" s="32" t="str">
        <x:v>[SANITIZED]</x:v>
      </x:c>
      <x:c r="AW43" s="32" t="str">
        <x:v>[SANITIZED]</x:v>
      </x:c>
      <x:c r="AX43" s="32" t="str">
        <x:v>[SANITIZED]</x:v>
      </x:c>
      <x:c r="AY43" s="32" t="str">
        <x:v>Manual Simulation</x:v>
      </x:c>
      <x:c r="AZ43" s="32" t="str">
        <x:v>2026-07-21 17:26</x:v>
      </x:c>
      <x:c r="BA43" s="32" t="str">
        <x:v>2026-07-21 17:26</x:v>
      </x:c>
      <x:c r="BB43" s="32" t="str">
        <x:v>Yes</x:v>
      </x:c>
      <x:c r="BC43" s="32" t="str">
        <x:v>Yes</x:v>
      </x:c>
      <x:c r="BD43" s="32" t="str"/>
      <x:c r="BE43" s="32" t="str"/>
      <x:c r="BF43" s="32" t="str">
        <x:v>No</x:v>
      </x:c>
      <x:c r="BG43" s="32" t="str">
        <x:v>No</x:v>
      </x:c>
      <x:c r="BH43" s="32" t="n">
        <x:v>0</x:v>
      </x:c>
      <x:c r="BI43" s="32" t="str">
        <x:v>24h</x:v>
      </x:c>
      <x:c r="BJ43" s="32" t="str">
        <x:f>IFERROR(VLOOKUP(B43&amp;"|24h",'COMMENT_RECHECK'!$V$5:$Y$204,4,FALSE),"Pending")</x:f>
        <x:v>No Verified User Reply</x:v>
      </x:c>
      <x:c r="BK43" s="33" t="str">
        <x:f>IF(OR(COUNTIF($B$5:$B$104,B43)&gt;1,AND(T43="Posted",BC43&lt;&gt;"Yes"),AND(OR(BJ43="Verified User Reply",BJ43="Mixed Reply"),Y43="")),"Review","OK")</x:f>
        <x:v>OK</x:v>
      </x:c>
    </x:row>
    <x:row r="44">
      <x:c r="A44" s="49" t="n">
        <x:v>46225</x:v>
      </x:c>
      <x:c r="B44" s="32" t="str">
        <x:v>IC-0040</x:v>
      </x:c>
      <x:c r="C44" s="32" t="str">
        <x:v>Account Slot 10</x:v>
      </x:c>
      <x:c r="D44" s="32" t="str">
        <x:v>Synthetic Display 10</x:v>
      </x:c>
      <x:c r="E44" s="32" t="str">
        <x:v>18:33</x:v>
      </x:c>
      <x:c r="F44" s="32" t="str">
        <x:v>creator_case_040</x:v>
      </x:c>
      <x:c r="G44" s="32" t="str">
        <x:v>Tailoring</x:v>
      </x:c>
      <x:c r="H44" s="32" t="str">
        <x:v>https://video.invalid/case/V0040</x:v>
      </x:c>
      <x:c r="I44" s="32" t="str">
        <x:v>รีวิวงานฝีมือ</x:v>
      </x:c>
      <x:c r="J44" s="32" t="str">
        <x:v>2026-07-20 18:00</x:v>
      </x:c>
      <x:c r="K44" s="32" t="n">
        <x:v>2443</x:v>
      </x:c>
      <x:c r="L44" s="32" t="n">
        <x:v>207</x:v>
      </x:c>
      <x:c r="M44" s="32" t="str">
        <x:v>Main comment</x:v>
      </x:c>
      <x:c r="N44" s="32" t="str">
        <x:v>Main comment</x:v>
      </x:c>
      <x:c r="O44" s="32" t="str">
        <x:v>เสื้อทรงนี้ดูง่ายแต่พอแมตช์แล้วภาพรวมมีสไตล์มากค่ะ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44" s="32" t="str">
        <x:v>IMG002</x:v>
      </x:c>
      <x:c r="Q44" s="32" t="str">
        <x:v>White shirt with floral fashion-button details at the collar and cuff</x:v>
      </x:c>
      <x:c r="R44" s="32" t="str">
        <x:v>Synthetic context before</x:v>
      </x:c>
      <x:c r="S44" s="32" t="str">
        <x:v>Synthetic context after</x:v>
      </x:c>
      <x:c r="T44" s="32" t="str">
        <x:v>Posted</x:v>
      </x:c>
      <x:c r="U44" s="32" t="str">
        <x:f>IFERROR(VLOOKUP(B44&amp;"|24h",'COMMENT_RECHECK'!$V$5:$Y$204,2,FALSE),"Pending")</x:f>
        <x:v>Visible</x:v>
      </x:c>
      <x:c r="V44" s="32" t="n">
        <x:v>2</x:v>
      </x:c>
      <x:c r="W44" s="32" t="str">
        <x:v>Synthetic reply preview</x:v>
      </x:c>
      <x:c r="X44" s="32" t="n">
        <x:v>0</x:v>
      </x:c>
      <x:c r="Y44" s="32" t="str">
        <x:v>EVD-SYN-0040-POST</x:v>
      </x:c>
      <x:c r="Z44" s="32" t="str"/>
      <x:c r="AA44" s="32" t="str">
        <x:v>Core</x:v>
      </x:c>
      <x:c r="AB44" s="32" t="str">
        <x:v>N/A</x:v>
      </x:c>
      <x:c r="AC44" s="32" t="str">
        <x:v>Neutral</x:v>
      </x:c>
      <x:c r="AD44" s="32" t="str">
        <x:v>TH</x:v>
      </x:c>
      <x:c r="AE44" s="32" t="str">
        <x:v>Yes</x:v>
      </x:c>
      <x:c r="AF44" s="32" t="str">
        <x:v>Standard</x:v>
      </x:c>
      <x:c r="AG44" s="32" t="str">
        <x:v>LIB-020</x:v>
      </x:c>
      <x:c r="AH44" s="32" t="str">
        <x:v>TH</x:v>
      </x:c>
      <x:c r="AI44" s="32" t="str">
        <x:v>Main</x:v>
      </x:c>
      <x:c r="AJ44" s="32" t="str">
        <x:v>None</x:v>
      </x:c>
      <x:c r="AK44" s="32" t="str">
        <x:v>inputs/product_images/IMG002.png</x:v>
      </x:c>
      <x:c r="AL44" s="32" t="str"/>
      <x:c r="AM44" s="32" t="str">
        <x:v>N/A</x:v>
      </x:c>
      <x:c r="AN44" s="32" t="str">
        <x:v>N/A</x:v>
      </x:c>
      <x:c r="AO44" s="32" t="str"/>
      <x:c r="AP44" s="32" t="str">
        <x:v>Potential</x:v>
      </x:c>
      <x:c r="AQ44" s="32" t="str">
        <x:v>Not Started</x:v>
      </x:c>
      <x:c r="AR44" s="32" t="str">
        <x:v>N/A</x:v>
      </x:c>
      <x:c r="AS44" s="32" t="str">
        <x:f>IFERROR(VLOOKUP(B44&amp;"|24h",'COMMENT_RECHECK'!$V$5:$Y$204,3,FALSE),"")</x:f>
        <x:v>Mixed</x:v>
      </x:c>
      <x:c r="AT44" s="32" t="str">
        <x:v>[SANITIZED]</x:v>
      </x:c>
      <x:c r="AU44" s="32" t="str">
        <x:v>case_account_10</x:v>
      </x:c>
      <x:c r="AV44" s="32" t="str">
        <x:v>[SANITIZED]</x:v>
      </x:c>
      <x:c r="AW44" s="32" t="str">
        <x:v>[SANITIZED]</x:v>
      </x:c>
      <x:c r="AX44" s="32" t="str">
        <x:v>[SANITIZED]</x:v>
      </x:c>
      <x:c r="AY44" s="32" t="str">
        <x:v>Manual Simulation</x:v>
      </x:c>
      <x:c r="AZ44" s="32" t="str">
        <x:v>2026-07-21 18:33</x:v>
      </x:c>
      <x:c r="BA44" s="32" t="str">
        <x:v>2026-07-21 18:33</x:v>
      </x:c>
      <x:c r="BB44" s="32" t="str">
        <x:v>Yes</x:v>
      </x:c>
      <x:c r="BC44" s="32" t="str">
        <x:v>Yes</x:v>
      </x:c>
      <x:c r="BD44" s="32" t="str"/>
      <x:c r="BE44" s="32" t="str"/>
      <x:c r="BF44" s="32" t="str">
        <x:v>No</x:v>
      </x:c>
      <x:c r="BG44" s="32" t="str">
        <x:v>No</x:v>
      </x:c>
      <x:c r="BH44" s="32" t="n">
        <x:v>0</x:v>
      </x:c>
      <x:c r="BI44" s="32" t="str">
        <x:v>24h</x:v>
      </x:c>
      <x:c r="BJ44" s="32" t="str">
        <x:f>IFERROR(VLOOKUP(B44&amp;"|24h",'COMMENT_RECHECK'!$V$5:$Y$204,4,FALSE),"Pending")</x:f>
        <x:v>Mixed Reply</x:v>
      </x:c>
      <x:c r="BK44" s="33" t="str">
        <x:f>IF(OR(COUNTIF($B$5:$B$104,B44)&gt;1,AND(T44="Posted",BC44&lt;&gt;"Yes"),AND(OR(BJ44="Verified User Reply",BJ44="Mixed Reply"),Y44="")),"Review","OK")</x:f>
        <x:v>OK</x:v>
      </x:c>
    </x:row>
    <x:row r="45">
      <x:c r="A45" s="49" t="n">
        <x:v>46225</x:v>
      </x:c>
      <x:c r="B45" s="32" t="str">
        <x:v>IC-0041</x:v>
      </x:c>
      <x:c r="C45" s="32" t="str">
        <x:v>Account Slot 1</x:v>
      </x:c>
      <x:c r="D45" s="32" t="str">
        <x:v>Synthetic Display 1</x:v>
      </x:c>
      <x:c r="E45" s="32" t="str">
        <x:v>09:40</x:v>
      </x:c>
      <x:c r="F45" s="32" t="str">
        <x:v>creator_case_041</x:v>
      </x:c>
      <x:c r="G45" s="32" t="str">
        <x:v>Fashion</x:v>
      </x:c>
      <x:c r="H45" s="32" t="str">
        <x:v>https://video.invalid/case/V0041</x:v>
      </x:c>
      <x:c r="I45" s="32" t="str">
        <x:v>เสื้อเชิ้ตทำงาน</x:v>
      </x:c>
      <x:c r="J45" s="32" t="str">
        <x:v>2026-07-20 18:00</x:v>
      </x:c>
      <x:c r="K45" s="32" t="n">
        <x:v>2480</x:v>
      </x:c>
      <x:c r="L45" s="32" t="n">
        <x:v>210</x:v>
      </x:c>
      <x:c r="M45" s="32" t="str">
        <x:v>Reply</x:v>
      </x:c>
      <x:c r="N45" s="32" t="str">
        <x:v>Synthetic parent</x:v>
      </x:c>
      <x:c r="O45" s="32" t="str">
        <x:v>เชิ้ตทรงนี้ดูเรียบร้อยและแมตช์ต่อได้ง่ายมากค่ะ รายละเอียดเล็กตรงกระดุมแบบในรูปช่วยดึงสายตาให้ช่วงบนดูมีมิติมากขึ้นค่ะ</x:v>
      </x:c>
      <x:c r="P45" s="32" t="str">
        <x:v>IMG002</x:v>
      </x:c>
      <x:c r="Q45" s="32" t="str">
        <x:v>White shirt with floral fashion-button details at the collar and cuff</x:v>
      </x:c>
      <x:c r="R45" s="32" t="str">
        <x:v>Synthetic context before</x:v>
      </x:c>
      <x:c r="S45" s="32" t="str">
        <x:v>Synthetic context after</x:v>
      </x:c>
      <x:c r="T45" s="32" t="str">
        <x:v>Posted</x:v>
      </x:c>
      <x:c r="U45" s="32" t="str">
        <x:f>IFERROR(VLOOKUP(B45&amp;"|24h",'COMMENT_RECHECK'!$V$5:$Y$204,2,FALSE),"Pending")</x:f>
        <x:v>Missing</x:v>
      </x:c>
      <x:c r="V45" s="32" t="n">
        <x:v>0</x:v>
      </x:c>
      <x:c r="W45" s="32" t="str"/>
      <x:c r="X45" s="32" t="n">
        <x:v>0</x:v>
      </x:c>
      <x:c r="Y45" s="32" t="str">
        <x:v>EVD-SYN-0041-POST</x:v>
      </x:c>
      <x:c r="Z45" s="32" t="str"/>
      <x:c r="AA45" s="32" t="str">
        <x:v>Core</x:v>
      </x:c>
      <x:c r="AB45" s="32" t="str">
        <x:v>N/A</x:v>
      </x:c>
      <x:c r="AC45" s="32" t="str">
        <x:v>Styled</x:v>
      </x:c>
      <x:c r="AD45" s="32" t="str">
        <x:v>TH</x:v>
      </x:c>
      <x:c r="AE45" s="32" t="str">
        <x:v>Yes</x:v>
      </x:c>
      <x:c r="AF45" s="32" t="str">
        <x:v>Standard</x:v>
      </x:c>
      <x:c r="AG45" s="32" t="str">
        <x:v>LIB-001</x:v>
      </x:c>
      <x:c r="AH45" s="32" t="str">
        <x:v>TH</x:v>
      </x:c>
      <x:c r="AI45" s="32" t="str">
        <x:v>Reply</x:v>
      </x:c>
      <x:c r="AJ45" s="32" t="str">
        <x:v>None</x:v>
      </x:c>
      <x:c r="AK45" s="32" t="str">
        <x:v>inputs/product_images/IMG002.png</x:v>
      </x:c>
      <x:c r="AL45" s="32" t="str"/>
      <x:c r="AM45" s="32" t="str">
        <x:v>N/A</x:v>
      </x:c>
      <x:c r="AN45" s="32" t="str">
        <x:v>N/A</x:v>
      </x:c>
      <x:c r="AO45" s="32" t="str"/>
      <x:c r="AP45" s="32" t="str">
        <x:v>No</x:v>
      </x:c>
      <x:c r="AQ45" s="32" t="str">
        <x:v>Not Started</x:v>
      </x:c>
      <x:c r="AR45" s="32" t="str">
        <x:v>N/A</x:v>
      </x:c>
      <x:c r="AS45" s="32" t="str">
        <x:f>IFERROR(VLOOKUP(B45&amp;"|24h",'COMMENT_RECHECK'!$V$5:$Y$204,3,FALSE),"")</x:f>
        <x:v>None</x:v>
      </x:c>
      <x:c r="AT45" s="32" t="str">
        <x:v>[SANITIZED]</x:v>
      </x:c>
      <x:c r="AU45" s="32" t="str">
        <x:v>case_account_01</x:v>
      </x:c>
      <x:c r="AV45" s="32" t="str">
        <x:v>[SANITIZED]</x:v>
      </x:c>
      <x:c r="AW45" s="32" t="str">
        <x:v>[SANITIZED]</x:v>
      </x:c>
      <x:c r="AX45" s="32" t="str">
        <x:v>[SANITIZED]</x:v>
      </x:c>
      <x:c r="AY45" s="32" t="str">
        <x:v>Manual Simulation</x:v>
      </x:c>
      <x:c r="AZ45" s="32" t="str">
        <x:v>2026-07-21 09:40</x:v>
      </x:c>
      <x:c r="BA45" s="32" t="str">
        <x:v>2026-07-21 09:40</x:v>
      </x:c>
      <x:c r="BB45" s="32" t="str">
        <x:v>Yes</x:v>
      </x:c>
      <x:c r="BC45" s="32" t="str">
        <x:v>Yes</x:v>
      </x:c>
      <x:c r="BD45" s="32" t="str"/>
      <x:c r="BE45" s="32" t="str"/>
      <x:c r="BF45" s="32" t="str">
        <x:v>No</x:v>
      </x:c>
      <x:c r="BG45" s="32" t="str">
        <x:v>No</x:v>
      </x:c>
      <x:c r="BH45" s="32" t="n">
        <x:v>0</x:v>
      </x:c>
      <x:c r="BI45" s="32" t="str">
        <x:v>24h</x:v>
      </x:c>
      <x:c r="BJ45" s="32" t="str">
        <x:f>IFERROR(VLOOKUP(B45&amp;"|24h",'COMMENT_RECHECK'!$V$5:$Y$204,4,FALSE),"Pending")</x:f>
        <x:v>No Verified User Reply</x:v>
      </x:c>
      <x:c r="BK45" s="33" t="str">
        <x:f>IF(OR(COUNTIF($B$5:$B$104,B45)&gt;1,AND(T45="Posted",BC45&lt;&gt;"Yes"),AND(OR(BJ45="Verified User Reply",BJ45="Mixed Reply"),Y45="")),"Review","OK")</x:f>
        <x:v>OK</x:v>
      </x:c>
    </x:row>
    <x:row r="46">
      <x:c r="A46" s="49" t="n">
        <x:v>46225</x:v>
      </x:c>
      <x:c r="B46" s="32" t="str">
        <x:v>IC-0042</x:v>
      </x:c>
      <x:c r="C46" s="32" t="str">
        <x:v>Account Slot 2</x:v>
      </x:c>
      <x:c r="D46" s="32" t="str">
        <x:v>Synthetic Display 2</x:v>
      </x:c>
      <x:c r="E46" s="32" t="str">
        <x:v>10:47</x:v>
      </x:c>
      <x:c r="F46" s="32" t="str">
        <x:v>creator_case_042</x:v>
      </x:c>
      <x:c r="G46" s="32" t="str">
        <x:v>DIY</x:v>
      </x:c>
      <x:c r="H46" s="32" t="str">
        <x:v>https://video.invalid/case/V0042</x:v>
      </x:c>
      <x:c r="I46" s="32" t="str">
        <x:v>แจ็กเก็ตเดนิม</x:v>
      </x:c>
      <x:c r="J46" s="32" t="str">
        <x:v>2026-07-20 18:00</x:v>
      </x:c>
      <x:c r="K46" s="32" t="n">
        <x:v>2517</x:v>
      </x:c>
      <x:c r="L46" s="32" t="n">
        <x:v>213</x:v>
      </x:c>
      <x:c r="M46" s="32" t="str">
        <x:v>Main comment</x:v>
      </x:c>
      <x:c r="N46" s="32" t="str">
        <x:v>Main comment</x:v>
      </x:c>
      <x:c r="O46" s="32" t="str">
        <x:v>เสื้อทรงนี้ดูง่ายแต่พอแมตช์แล้วภาพรวมมีสไตล์มากค่ะ เสื้อทรงนี้ถ้าเพิ่มตัวครอบกระดุมสีอ่อนแบบในรูป น่าจะดูหวานขึ้นโดยไม่หลุดโทนค่ะ</x:v>
      </x:c>
      <x:c r="P46" s="32" t="str">
        <x:v>IMG002</x:v>
      </x:c>
      <x:c r="Q46" s="32" t="str">
        <x:v>White shirt with floral fashion-button details at the collar and cuff</x:v>
      </x:c>
      <x:c r="R46" s="32" t="str">
        <x:v>Synthetic context before</x:v>
      </x:c>
      <x:c r="S46" s="32" t="str">
        <x:v>Synthetic context after</x:v>
      </x:c>
      <x:c r="T46" s="32" t="str">
        <x:v>Posted</x:v>
      </x:c>
      <x:c r="U46" s="32" t="str">
        <x:f>IFERROR(VLOOKUP(B46&amp;"|24h",'COMMENT_RECHECK'!$V$5:$Y$204,2,FALSE),"Pending")</x:f>
        <x:v>Visible</x:v>
      </x:c>
      <x:c r="V46" s="32" t="n">
        <x:v>0</x:v>
      </x:c>
      <x:c r="W46" s="32" t="str"/>
      <x:c r="X46" s="32" t="n">
        <x:v>0</x:v>
      </x:c>
      <x:c r="Y46" s="32" t="str">
        <x:v>EVD-SYN-0042-POST</x:v>
      </x:c>
      <x:c r="Z46" s="32" t="str"/>
      <x:c r="AA46" s="32" t="str">
        <x:v>Core</x:v>
      </x:c>
      <x:c r="AB46" s="32" t="str">
        <x:v>N/A</x:v>
      </x:c>
      <x:c r="AC46" s="32" t="str">
        <x:v>Neutral</x:v>
      </x:c>
      <x:c r="AD46" s="32" t="str">
        <x:v>TH</x:v>
      </x:c>
      <x:c r="AE46" s="32" t="str">
        <x:v>Yes</x:v>
      </x:c>
      <x:c r="AF46" s="32" t="str">
        <x:v>Standard</x:v>
      </x:c>
      <x:c r="AG46" s="32" t="str">
        <x:v>LIB-002</x:v>
      </x:c>
      <x:c r="AH46" s="32" t="str">
        <x:v>TH</x:v>
      </x:c>
      <x:c r="AI46" s="32" t="str">
        <x:v>Main</x:v>
      </x:c>
      <x:c r="AJ46" s="32" t="str">
        <x:v>None</x:v>
      </x:c>
      <x:c r="AK46" s="32" t="str">
        <x:v>inputs/product_images/IMG002.png</x:v>
      </x:c>
      <x:c r="AL46" s="32" t="str"/>
      <x:c r="AM46" s="32" t="str">
        <x:v>N/A</x:v>
      </x:c>
      <x:c r="AN46" s="32" t="str">
        <x:v>N/A</x:v>
      </x:c>
      <x:c r="AO46" s="32" t="str"/>
      <x:c r="AP46" s="32" t="str">
        <x:v>No</x:v>
      </x:c>
      <x:c r="AQ46" s="32" t="str">
        <x:v>Not Started</x:v>
      </x:c>
      <x:c r="AR46" s="32" t="str">
        <x:v>N/A</x:v>
      </x:c>
      <x:c r="AS46" s="32" t="str">
        <x:f>IFERROR(VLOOKUP(B46&amp;"|24h",'COMMENT_RECHECK'!$V$5:$Y$204,3,FALSE),"")</x:f>
        <x:v>None</x:v>
      </x:c>
      <x:c r="AT46" s="32" t="str">
        <x:v>[SANITIZED]</x:v>
      </x:c>
      <x:c r="AU46" s="32" t="str">
        <x:v>case_account_02</x:v>
      </x:c>
      <x:c r="AV46" s="32" t="str">
        <x:v>[SANITIZED]</x:v>
      </x:c>
      <x:c r="AW46" s="32" t="str">
        <x:v>[SANITIZED]</x:v>
      </x:c>
      <x:c r="AX46" s="32" t="str">
        <x:v>[SANITIZED]</x:v>
      </x:c>
      <x:c r="AY46" s="32" t="str">
        <x:v>Manual Simulation</x:v>
      </x:c>
      <x:c r="AZ46" s="32" t="str">
        <x:v>2026-07-21 10:47</x:v>
      </x:c>
      <x:c r="BA46" s="32" t="str">
        <x:v>2026-07-21 10:47</x:v>
      </x:c>
      <x:c r="BB46" s="32" t="str">
        <x:v>Yes</x:v>
      </x:c>
      <x:c r="BC46" s="32" t="str">
        <x:v>Yes</x:v>
      </x:c>
      <x:c r="BD46" s="32" t="str"/>
      <x:c r="BE46" s="32" t="str"/>
      <x:c r="BF46" s="32" t="str">
        <x:v>No</x:v>
      </x:c>
      <x:c r="BG46" s="32" t="str">
        <x:v>No</x:v>
      </x:c>
      <x:c r="BH46" s="32" t="n">
        <x:v>0</x:v>
      </x:c>
      <x:c r="BI46" s="32" t="str">
        <x:v>24h</x:v>
      </x:c>
      <x:c r="BJ46" s="32" t="str">
        <x:f>IFERROR(VLOOKUP(B46&amp;"|24h",'COMMENT_RECHECK'!$V$5:$Y$204,4,FALSE),"Pending")</x:f>
        <x:v>No Verified User Reply</x:v>
      </x:c>
      <x:c r="BK46" s="33" t="str">
        <x:f>IF(OR(COUNTIF($B$5:$B$104,B46)&gt;1,AND(T46="Posted",BC46&lt;&gt;"Yes"),AND(OR(BJ46="Verified User Reply",BJ46="Mixed Reply"),Y46="")),"Review","OK")</x:f>
        <x:v>OK</x:v>
      </x:c>
    </x:row>
    <x:row r="47">
      <x:c r="A47" s="49" t="n">
        <x:v>46225</x:v>
      </x:c>
      <x:c r="B47" s="32" t="str">
        <x:v>IC-0043</x:v>
      </x:c>
      <x:c r="C47" s="32" t="str">
        <x:v>Account Slot 3</x:v>
      </x:c>
      <x:c r="D47" s="32" t="str">
        <x:v>Synthetic Display 3</x:v>
      </x:c>
      <x:c r="E47" s="32" t="str">
        <x:v>11:54</x:v>
      </x:c>
      <x:c r="F47" s="32" t="str">
        <x:v>creator_case_043</x:v>
      </x:c>
      <x:c r="G47" s="32" t="str">
        <x:v>Lifestyle</x:v>
      </x:c>
      <x:c r="H47" s="32" t="str">
        <x:v>https://video.invalid/case/V0043</x:v>
      </x:c>
      <x:c r="I47" s="32" t="str">
        <x:v>เดรสออกงาน</x:v>
      </x:c>
      <x:c r="J47" s="32" t="str">
        <x:v>2026-07-20 18:00</x:v>
      </x:c>
      <x:c r="K47" s="32" t="n">
        <x:v>2554</x:v>
      </x:c>
      <x:c r="L47" s="32" t="n">
        <x:v>216</x:v>
      </x:c>
      <x:c r="M47" s="32" t="str">
        <x:v>Main comment</x:v>
      </x:c>
      <x:c r="N47" s="32" t="str">
        <x:v>Main comment</x:v>
      </x:c>
      <x:c r="O47" s="32" t="str">
        <x:v>ภาพรวมของ office look นี้ดูตั้งใจแบบไม่เยอะเกินไปค่ะ ดีเทลคอเสื้อกับปลายแขนแบบในรูปช่วยเปลี่ยนเสื้อตัวเดิมให้ดูพิเศษขึ้นพอดี</x:v>
      </x:c>
      <x:c r="P47" s="32" t="str">
        <x:v>IMG002</x:v>
      </x:c>
      <x:c r="Q47" s="32" t="str">
        <x:v>White shirt with floral fashion-button details at the collar and cuff</x:v>
      </x:c>
      <x:c r="R47" s="32" t="str">
        <x:v>Synthetic context before</x:v>
      </x:c>
      <x:c r="S47" s="32" t="str">
        <x:v>Synthetic context after</x:v>
      </x:c>
      <x:c r="T47" s="32" t="str">
        <x:v>Posted</x:v>
      </x:c>
      <x:c r="U47" s="32" t="str">
        <x:f>IFERROR(VLOOKUP(B47&amp;"|24h",'COMMENT_RECHECK'!$V$5:$Y$204,2,FALSE),"Pending")</x:f>
        <x:v>Visible</x:v>
      </x:c>
      <x:c r="V47" s="32" t="n">
        <x:v>1</x:v>
      </x:c>
      <x:c r="W47" s="32" t="str">
        <x:v>Synthetic reply preview</x:v>
      </x:c>
      <x:c r="X47" s="32" t="n">
        <x:v>0</x:v>
      </x:c>
      <x:c r="Y47" s="32" t="str">
        <x:v>EVD-SYN-0043-POST</x:v>
      </x:c>
      <x:c r="Z47" s="32" t="str"/>
      <x:c r="AA47" s="32" t="str">
        <x:v>Core</x:v>
      </x:c>
      <x:c r="AB47" s="32" t="str">
        <x:v>N/A</x:v>
      </x:c>
      <x:c r="AC47" s="32" t="str">
        <x:v>Styled</x:v>
      </x:c>
      <x:c r="AD47" s="32" t="str">
        <x:v>TH</x:v>
      </x:c>
      <x:c r="AE47" s="32" t="str">
        <x:v>Yes</x:v>
      </x:c>
      <x:c r="AF47" s="32" t="str">
        <x:v>Standard</x:v>
      </x:c>
      <x:c r="AG47" s="32" t="str">
        <x:v>LIB-003</x:v>
      </x:c>
      <x:c r="AH47" s="32" t="str">
        <x:v>TH</x:v>
      </x:c>
      <x:c r="AI47" s="32" t="str">
        <x:v>Main</x:v>
      </x:c>
      <x:c r="AJ47" s="32" t="str">
        <x:v>Reference</x:v>
      </x:c>
      <x:c r="AK47" s="32" t="str">
        <x:v>inputs/product_images/IMG002.png</x:v>
      </x:c>
      <x:c r="AL47" s="32" t="str"/>
      <x:c r="AM47" s="32" t="str">
        <x:v>Yes</x:v>
      </x:c>
      <x:c r="AN47" s="32" t="str">
        <x:v>Complete</x:v>
      </x:c>
      <x:c r="AO47" s="32" t="str"/>
      <x:c r="AP47" s="32" t="str">
        <x:v>Potential</x:v>
      </x:c>
      <x:c r="AQ47" s="32" t="str">
        <x:v>Not Started</x:v>
      </x:c>
      <x:c r="AR47" s="32" t="str">
        <x:v>Fit</x:v>
      </x:c>
      <x:c r="AS47" s="32" t="str">
        <x:f>IFERROR(VLOOKUP(B47&amp;"|24h",'COMMENT_RECHECK'!$V$5:$Y$204,3,FALSE),"")</x:f>
        <x:v>User</x:v>
      </x:c>
      <x:c r="AT47" s="32" t="str">
        <x:v>[SANITIZED]</x:v>
      </x:c>
      <x:c r="AU47" s="32" t="str">
        <x:v>case_account_03</x:v>
      </x:c>
      <x:c r="AV47" s="32" t="str">
        <x:v>[SANITIZED]</x:v>
      </x:c>
      <x:c r="AW47" s="32" t="str">
        <x:v>[SANITIZED]</x:v>
      </x:c>
      <x:c r="AX47" s="32" t="str">
        <x:v>[SANITIZED]</x:v>
      </x:c>
      <x:c r="AY47" s="32" t="str">
        <x:v>Manual Simulation</x:v>
      </x:c>
      <x:c r="AZ47" s="32" t="str">
        <x:v>2026-07-21 11:54</x:v>
      </x:c>
      <x:c r="BA47" s="32" t="str">
        <x:v>2026-07-21 11:54</x:v>
      </x:c>
      <x:c r="BB47" s="32" t="str">
        <x:v>Yes</x:v>
      </x:c>
      <x:c r="BC47" s="32" t="str">
        <x:v>Yes</x:v>
      </x:c>
      <x:c r="BD47" s="32" t="str"/>
      <x:c r="BE47" s="32" t="str"/>
      <x:c r="BF47" s="32" t="str">
        <x:v>No</x:v>
      </x:c>
      <x:c r="BG47" s="32" t="str">
        <x:v>No</x:v>
      </x:c>
      <x:c r="BH47" s="32" t="n">
        <x:v>0</x:v>
      </x:c>
      <x:c r="BI47" s="32" t="str">
        <x:v>24h</x:v>
      </x:c>
      <x:c r="BJ47" s="32" t="str">
        <x:f>IFERROR(VLOOKUP(B47&amp;"|24h",'COMMENT_RECHECK'!$V$5:$Y$204,4,FALSE),"Pending")</x:f>
        <x:v>Verified User Reply</x:v>
      </x:c>
      <x:c r="BK47" s="33" t="str">
        <x:f>IF(OR(COUNTIF($B$5:$B$104,B47)&gt;1,AND(T47="Posted",BC47&lt;&gt;"Yes"),AND(OR(BJ47="Verified User Reply",BJ47="Mixed Reply"),Y47="")),"Review","OK")</x:f>
        <x:v>OK</x:v>
      </x:c>
    </x:row>
    <x:row r="48">
      <x:c r="A48" s="49" t="n">
        <x:v>46225</x:v>
      </x:c>
      <x:c r="B48" s="32" t="str">
        <x:v>IC-0044</x:v>
      </x:c>
      <x:c r="C48" s="32" t="str">
        <x:v>Account Slot 4</x:v>
      </x:c>
      <x:c r="D48" s="32" t="str">
        <x:v>Synthetic Display 4</x:v>
      </x:c>
      <x:c r="E48" s="32" t="str">
        <x:v>12:01</x:v>
      </x:c>
      <x:c r="F48" s="32" t="str">
        <x:v>creator_case_044</x:v>
      </x:c>
      <x:c r="G48" s="32" t="str">
        <x:v>Tailoring</x:v>
      </x:c>
      <x:c r="H48" s="32" t="str">
        <x:v>https://video.invalid/case/V0044</x:v>
      </x:c>
      <x:c r="I48" s="32" t="str">
        <x:v>งานเย็บ DIY</x:v>
      </x:c>
      <x:c r="J48" s="32" t="str">
        <x:v>2026-07-20 18:00</x:v>
      </x:c>
      <x:c r="K48" s="32" t="n">
        <x:v>2591</x:v>
      </x:c>
      <x:c r="L48" s="32" t="n">
        <x:v>219</x:v>
      </x:c>
      <x:c r="M48" s="32" t="str">
        <x:v>Main comment</x:v>
      </x:c>
      <x:c r="N48" s="32" t="str">
        <x:v>Main comment</x:v>
      </x:c>
      <x:c r="O48" s="32" t="str">
        <x:v>ลุคคาร์ดิแกนนี้น่ารักและดูแต่งตามได้จริงมากค่ะ ถ้าเล่นลูกเล่นกระดุมดอกไม้เล็ก ๆ แบบในรูป ช่วงบนของลุคน่าจะเด่นขึ้นพอดีค่ะ</x:v>
      </x:c>
      <x:c r="P48" s="32" t="str">
        <x:v>IMG002</x:v>
      </x:c>
      <x:c r="Q48" s="32" t="str">
        <x:v>White shirt with floral fashion-button details at the collar and cuff</x:v>
      </x:c>
      <x:c r="R48" s="32" t="str">
        <x:v>Synthetic context before</x:v>
      </x:c>
      <x:c r="S48" s="32" t="str">
        <x:v>Synthetic context after</x:v>
      </x:c>
      <x:c r="T48" s="32" t="str">
        <x:v>Posted</x:v>
      </x:c>
      <x:c r="U48" s="32" t="str">
        <x:f>IFERROR(VLOOKUP(B48&amp;"|24h",'COMMENT_RECHECK'!$V$5:$Y$204,2,FALSE),"Pending")</x:f>
        <x:v>Visible</x:v>
      </x:c>
      <x:c r="V48" s="32" t="n">
        <x:v>0</x:v>
      </x:c>
      <x:c r="W48" s="32" t="str"/>
      <x:c r="X48" s="32" t="n">
        <x:v>0</x:v>
      </x:c>
      <x:c r="Y48" s="32" t="str">
        <x:v>EVD-SYN-0044-POST</x:v>
      </x:c>
      <x:c r="Z48" s="32" t="str"/>
      <x:c r="AA48" s="32" t="str">
        <x:v>Core</x:v>
      </x:c>
      <x:c r="AB48" s="32" t="str">
        <x:v>N/A</x:v>
      </x:c>
      <x:c r="AC48" s="32" t="str">
        <x:v>Neutral</x:v>
      </x:c>
      <x:c r="AD48" s="32" t="str">
        <x:v>TH</x:v>
      </x:c>
      <x:c r="AE48" s="32" t="str">
        <x:v>Yes</x:v>
      </x:c>
      <x:c r="AF48" s="32" t="str">
        <x:v>Standard</x:v>
      </x:c>
      <x:c r="AG48" s="32" t="str">
        <x:v>LIB-004</x:v>
      </x:c>
      <x:c r="AH48" s="32" t="str">
        <x:v>TH</x:v>
      </x:c>
      <x:c r="AI48" s="32" t="str">
        <x:v>Main</x:v>
      </x:c>
      <x:c r="AJ48" s="32" t="str">
        <x:v>None</x:v>
      </x:c>
      <x:c r="AK48" s="32" t="str">
        <x:v>inputs/product_images/IMG002.png</x:v>
      </x:c>
      <x:c r="AL48" s="32" t="str"/>
      <x:c r="AM48" s="32" t="str">
        <x:v>N/A</x:v>
      </x:c>
      <x:c r="AN48" s="32" t="str">
        <x:v>N/A</x:v>
      </x:c>
      <x:c r="AO48" s="32" t="str"/>
      <x:c r="AP48" s="32" t="str">
        <x:v>No</x:v>
      </x:c>
      <x:c r="AQ48" s="32" t="str">
        <x:v>Not Started</x:v>
      </x:c>
      <x:c r="AR48" s="32" t="str">
        <x:v>N/A</x:v>
      </x:c>
      <x:c r="AS48" s="32" t="n">
        <x:f>IFERROR(VLOOKUP(B48&amp;"|24h",'COMMENT_RECHECK'!$V$5:$Y$204,3,FALSE),"")</x:f>
        <x:v>0</x:v>
      </x:c>
      <x:c r="AT48" s="32" t="str">
        <x:v>[SANITIZED]</x:v>
      </x:c>
      <x:c r="AU48" s="32" t="str">
        <x:v>case_account_04</x:v>
      </x:c>
      <x:c r="AV48" s="32" t="str">
        <x:v>[SANITIZED]</x:v>
      </x:c>
      <x:c r="AW48" s="32" t="str">
        <x:v>[SANITIZED]</x:v>
      </x:c>
      <x:c r="AX48" s="32" t="str">
        <x:v>[SANITIZED]</x:v>
      </x:c>
      <x:c r="AY48" s="32" t="str">
        <x:v>Manual Simulation</x:v>
      </x:c>
      <x:c r="AZ48" s="32" t="str">
        <x:v>2026-07-21 12:01</x:v>
      </x:c>
      <x:c r="BA48" s="32" t="str">
        <x:v>2026-07-21 12:01</x:v>
      </x:c>
      <x:c r="BB48" s="32" t="str">
        <x:v>Yes</x:v>
      </x:c>
      <x:c r="BC48" s="32" t="str">
        <x:v>Yes</x:v>
      </x:c>
      <x:c r="BD48" s="32" t="str"/>
      <x:c r="BE48" s="32" t="str"/>
      <x:c r="BF48" s="32" t="str">
        <x:v>No</x:v>
      </x:c>
      <x:c r="BG48" s="32" t="str">
        <x:v>No</x:v>
      </x:c>
      <x:c r="BH48" s="32" t="n">
        <x:v>0</x:v>
      </x:c>
      <x:c r="BI48" s="32" t="str">
        <x:v>24h</x:v>
      </x:c>
      <x:c r="BJ48" s="32" t="str">
        <x:f>IFERROR(VLOOKUP(B48&amp;"|24h",'COMMENT_RECHECK'!$V$5:$Y$204,4,FALSE),"Pending")</x:f>
        <x:v>No Verified User Reply</x:v>
      </x:c>
      <x:c r="BK48" s="33" t="str">
        <x:f>IF(OR(COUNTIF($B$5:$B$104,B48)&gt;1,AND(T48="Posted",BC48&lt;&gt;"Yes"),AND(OR(BJ48="Verified User Reply",BJ48="Mixed Reply"),Y48="")),"Review","OK")</x:f>
        <x:v>OK</x:v>
      </x:c>
    </x:row>
    <x:row r="49">
      <x:c r="A49" s="49" t="n">
        <x:v>46225</x:v>
      </x:c>
      <x:c r="B49" s="32" t="str">
        <x:v>IC-0045</x:v>
      </x:c>
      <x:c r="C49" s="32" t="str">
        <x:v>Account Slot 5</x:v>
      </x:c>
      <x:c r="D49" s="32" t="str">
        <x:v>Synthetic Display 5</x:v>
      </x:c>
      <x:c r="E49" s="32" t="str">
        <x:v>13:08</x:v>
      </x:c>
      <x:c r="F49" s="32" t="str">
        <x:v>creator_case_045</x:v>
      </x:c>
      <x:c r="G49" s="32" t="str">
        <x:v>Fashion</x:v>
      </x:c>
      <x:c r="H49" s="32" t="str">
        <x:v>https://video.invalid/case/V0045</x:v>
      </x:c>
      <x:c r="I49" s="32" t="str">
        <x:v>การซ่อมเสื้อ</x:v>
      </x:c>
      <x:c r="J49" s="32" t="str">
        <x:v>2026-07-20 18:00</x:v>
      </x:c>
      <x:c r="K49" s="32" t="n">
        <x:v>2628</x:v>
      </x:c>
      <x:c r="L49" s="32" t="n">
        <x:v>222</x:v>
      </x:c>
      <x:c r="M49" s="32" t="str">
        <x:v>Reply</x:v>
      </x:c>
      <x:c r="N49" s="32" t="str">
        <x:v>Synthetic parent</x:v>
      </x:c>
      <x:c r="O49" s="32" t="str">
        <x:v>ภาพรวมของ office look นี้ดูตั้งใจแบบไม่เยอะเกินไปค่ะ จุดเล็ก ๆ โทนชมพูแบบในรูปทำให้เสื้อขาวดูละมุนและแต่งสนุกขึ้นมาก</x:v>
      </x:c>
      <x:c r="P49" s="32" t="str">
        <x:v>IMG002</x:v>
      </x:c>
      <x:c r="Q49" s="32" t="str">
        <x:v>White shirt with floral fashion-button details at the collar and cuff</x:v>
      </x:c>
      <x:c r="R49" s="32" t="str">
        <x:v>Synthetic context before</x:v>
      </x:c>
      <x:c r="S49" s="32" t="str">
        <x:v>Synthetic context after</x:v>
      </x:c>
      <x:c r="T49" s="32" t="str">
        <x:v>Posted</x:v>
      </x:c>
      <x:c r="U49" s="32" t="str">
        <x:f>IFERROR(VLOOKUP(B49&amp;"|24h",'COMMENT_RECHECK'!$V$5:$Y$204,2,FALSE),"Pending")</x:f>
        <x:v>Visible</x:v>
      </x:c>
      <x:c r="V49" s="32" t="n">
        <x:v>1</x:v>
      </x:c>
      <x:c r="W49" s="32" t="str">
        <x:v>Synthetic reply preview</x:v>
      </x:c>
      <x:c r="X49" s="32" t="n">
        <x:v>0</x:v>
      </x:c>
      <x:c r="Y49" s="32" t="str">
        <x:v>EVD-SYN-0045-POST</x:v>
      </x:c>
      <x:c r="Z49" s="32" t="str"/>
      <x:c r="AA49" s="32" t="str">
        <x:v>Core</x:v>
      </x:c>
      <x:c r="AB49" s="32" t="str">
        <x:v>N/A</x:v>
      </x:c>
      <x:c r="AC49" s="32" t="str">
        <x:v>Styled</x:v>
      </x:c>
      <x:c r="AD49" s="32" t="str">
        <x:v>TH</x:v>
      </x:c>
      <x:c r="AE49" s="32" t="str">
        <x:v>Yes</x:v>
      </x:c>
      <x:c r="AF49" s="32" t="str">
        <x:v>Standard</x:v>
      </x:c>
      <x:c r="AG49" s="32" t="str">
        <x:v>LIB-005</x:v>
      </x:c>
      <x:c r="AH49" s="32" t="str">
        <x:v>TH</x:v>
      </x:c>
      <x:c r="AI49" s="32" t="str">
        <x:v>Reply</x:v>
      </x:c>
      <x:c r="AJ49" s="32" t="str">
        <x:v>None</x:v>
      </x:c>
      <x:c r="AK49" s="32" t="str">
        <x:v>inputs/product_images/IMG002.png</x:v>
      </x:c>
      <x:c r="AL49" s="32" t="str"/>
      <x:c r="AM49" s="32" t="str">
        <x:v>N/A</x:v>
      </x:c>
      <x:c r="AN49" s="32" t="str">
        <x:v>N/A</x:v>
      </x:c>
      <x:c r="AO49" s="32" t="str"/>
      <x:c r="AP49" s="32" t="str">
        <x:v>No</x:v>
      </x:c>
      <x:c r="AQ49" s="32" t="str">
        <x:v>Not Started</x:v>
      </x:c>
      <x:c r="AR49" s="32" t="str">
        <x:v>N/A</x:v>
      </x:c>
      <x:c r="AS49" s="32" t="str">
        <x:f>IFERROR(VLOOKUP(B49&amp;"|24h",'COMMENT_RECHECK'!$V$5:$Y$204,3,FALSE),"")</x:f>
        <x:v>Creator</x:v>
      </x:c>
      <x:c r="AT49" s="32" t="str">
        <x:v>[SANITIZED]</x:v>
      </x:c>
      <x:c r="AU49" s="32" t="str">
        <x:v>case_account_05</x:v>
      </x:c>
      <x:c r="AV49" s="32" t="str">
        <x:v>[SANITIZED]</x:v>
      </x:c>
      <x:c r="AW49" s="32" t="str">
        <x:v>[SANITIZED]</x:v>
      </x:c>
      <x:c r="AX49" s="32" t="str">
        <x:v>[SANITIZED]</x:v>
      </x:c>
      <x:c r="AY49" s="32" t="str">
        <x:v>Manual Simulation</x:v>
      </x:c>
      <x:c r="AZ49" s="32" t="str">
        <x:v>2026-07-21 13:08</x:v>
      </x:c>
      <x:c r="BA49" s="32" t="str">
        <x:v>2026-07-21 13:08</x:v>
      </x:c>
      <x:c r="BB49" s="32" t="str">
        <x:v>Yes</x:v>
      </x:c>
      <x:c r="BC49" s="32" t="str">
        <x:v>Yes</x:v>
      </x:c>
      <x:c r="BD49" s="32" t="str"/>
      <x:c r="BE49" s="32" t="str"/>
      <x:c r="BF49" s="32" t="str">
        <x:v>No</x:v>
      </x:c>
      <x:c r="BG49" s="32" t="str">
        <x:v>No</x:v>
      </x:c>
      <x:c r="BH49" s="32" t="n">
        <x:v>0</x:v>
      </x:c>
      <x:c r="BI49" s="32" t="str">
        <x:v>24h</x:v>
      </x:c>
      <x:c r="BJ49" s="32" t="str">
        <x:f>IFERROR(VLOOKUP(B49&amp;"|24h",'COMMENT_RECHECK'!$V$5:$Y$204,4,FALSE),"Pending")</x:f>
        <x:v>No Verified User Reply</x:v>
      </x:c>
      <x:c r="BK49" s="33" t="str">
        <x:f>IF(OR(COUNTIF($B$5:$B$104,B49)&gt;1,AND(T49="Posted",BC49&lt;&gt;"Yes"),AND(OR(BJ49="Verified User Reply",BJ49="Mixed Reply"),Y49="")),"Review","OK")</x:f>
        <x:v>OK</x:v>
      </x:c>
    </x:row>
    <x:row r="50">
      <x:c r="A50" s="49" t="n">
        <x:v>46225</x:v>
      </x:c>
      <x:c r="B50" s="32" t="str">
        <x:v>IC-0046</x:v>
      </x:c>
      <x:c r="C50" s="32" t="str">
        <x:v>Account Slot 6</x:v>
      </x:c>
      <x:c r="D50" s="32" t="str">
        <x:v>Synthetic Display 6</x:v>
      </x:c>
      <x:c r="E50" s="32" t="str">
        <x:v>14:15</x:v>
      </x:c>
      <x:c r="F50" s="32" t="str">
        <x:v>creator_case_046</x:v>
      </x:c>
      <x:c r="G50" s="32" t="str">
        <x:v>DIY</x:v>
      </x:c>
      <x:c r="H50" s="32" t="str">
        <x:v>https://video.invalid/case/V0046</x:v>
      </x:c>
      <x:c r="I50" s="32" t="str">
        <x:v>แฟชั่นวินเทจ</x:v>
      </x:c>
      <x:c r="J50" s="32" t="str">
        <x:v>2026-07-20 18:00</x:v>
      </x:c>
      <x:c r="K50" s="32" t="n">
        <x:v>2665</x:v>
      </x:c>
      <x:c r="L50" s="32" t="n">
        <x:v>225</x:v>
      </x:c>
      <x:c r="M50" s="32" t="str">
        <x:v>Main comment</x:v>
      </x:c>
      <x:c r="N50" s="32" t="str">
        <x:v>Main comment</x:v>
      </x:c>
      <x:c r="O50" s="32" t="str">
        <x:v>กระดุมสวยมาก กระดุมสวยมาก กระดุมสวยมาก</x:v>
      </x:c>
      <x:c r="P50" s="32" t="str">
        <x:v>IMG002</x:v>
      </x:c>
      <x:c r="Q50" s="32" t="str">
        <x:v>White shirt with floral fashion-button details at the collar and cuff</x:v>
      </x:c>
      <x:c r="R50" s="32" t="str">
        <x:v>Synthetic context before</x:v>
      </x:c>
      <x:c r="S50" s="32" t="str">
        <x:v>Synthetic context after</x:v>
      </x:c>
      <x:c r="T50" s="32" t="str">
        <x:v>Posted</x:v>
      </x:c>
      <x:c r="U50" s="32" t="str">
        <x:f>IFERROR(VLOOKUP(B50&amp;"|24h",'COMMENT_RECHECK'!$V$5:$Y$204,2,FALSE),"Pending")</x:f>
        <x:v>Missing</x:v>
      </x:c>
      <x:c r="V50" s="32" t="n">
        <x:v>0</x:v>
      </x:c>
      <x:c r="W50" s="32" t="str"/>
      <x:c r="X50" s="32" t="n">
        <x:v>0</x:v>
      </x:c>
      <x:c r="Y50" s="32" t="str">
        <x:v>EVD-SYN-0046-POST</x:v>
      </x:c>
      <x:c r="Z50" s="32" t="str"/>
      <x:c r="AA50" s="32" t="str">
        <x:v>Core</x:v>
      </x:c>
      <x:c r="AB50" s="32" t="str">
        <x:v>N/A</x:v>
      </x:c>
      <x:c r="AC50" s="32" t="str">
        <x:v>Neutral</x:v>
      </x:c>
      <x:c r="AD50" s="32" t="str">
        <x:v>TH</x:v>
      </x:c>
      <x:c r="AE50" s="32" t="str">
        <x:v>Yes</x:v>
      </x:c>
      <x:c r="AF50" s="32" t="str">
        <x:v>Standard</x:v>
      </x:c>
      <x:c r="AG50" s="32" t="str">
        <x:v>LIB-006</x:v>
      </x:c>
      <x:c r="AH50" s="32" t="str">
        <x:v>TH</x:v>
      </x:c>
      <x:c r="AI50" s="32" t="str">
        <x:v>Main</x:v>
      </x:c>
      <x:c r="AJ50" s="32" t="str">
        <x:v>None</x:v>
      </x:c>
      <x:c r="AK50" s="32" t="str">
        <x:v>inputs/product_images/IMG002.png</x:v>
      </x:c>
      <x:c r="AL50" s="32" t="str"/>
      <x:c r="AM50" s="32" t="str">
        <x:v>N/A</x:v>
      </x:c>
      <x:c r="AN50" s="32" t="str">
        <x:v>N/A</x:v>
      </x:c>
      <x:c r="AO50" s="32" t="str"/>
      <x:c r="AP50" s="32" t="str">
        <x:v>No</x:v>
      </x:c>
      <x:c r="AQ50" s="32" t="str">
        <x:v>Not Started</x:v>
      </x:c>
      <x:c r="AR50" s="32" t="str">
        <x:v>N/A</x:v>
      </x:c>
      <x:c r="AS50" s="32" t="str">
        <x:f>IFERROR(VLOOKUP(B50&amp;"|24h",'COMMENT_RECHECK'!$V$5:$Y$204,3,FALSE),"")</x:f>
        <x:v>None</x:v>
      </x:c>
      <x:c r="AT50" s="32" t="str">
        <x:v>[SANITIZED]</x:v>
      </x:c>
      <x:c r="AU50" s="32" t="str">
        <x:v>case_account_06</x:v>
      </x:c>
      <x:c r="AV50" s="32" t="str">
        <x:v>[SANITIZED]</x:v>
      </x:c>
      <x:c r="AW50" s="32" t="str">
        <x:v>[SANITIZED]</x:v>
      </x:c>
      <x:c r="AX50" s="32" t="str">
        <x:v>[SANITIZED]</x:v>
      </x:c>
      <x:c r="AY50" s="32" t="str">
        <x:v>Manual Simulation</x:v>
      </x:c>
      <x:c r="AZ50" s="32" t="str">
        <x:v>2026-07-21 14:15</x:v>
      </x:c>
      <x:c r="BA50" s="32" t="str">
        <x:v>2026-07-21 14:15</x:v>
      </x:c>
      <x:c r="BB50" s="32" t="str">
        <x:v>Yes</x:v>
      </x:c>
      <x:c r="BC50" s="32" t="str">
        <x:v>Yes</x:v>
      </x:c>
      <x:c r="BD50" s="32" t="str"/>
      <x:c r="BE50" s="32" t="str"/>
      <x:c r="BF50" s="32" t="str">
        <x:v>No</x:v>
      </x:c>
      <x:c r="BG50" s="32" t="str">
        <x:v>No</x:v>
      </x:c>
      <x:c r="BH50" s="32" t="n">
        <x:v>0</x:v>
      </x:c>
      <x:c r="BI50" s="32" t="str">
        <x:v>24h</x:v>
      </x:c>
      <x:c r="BJ50" s="32" t="str">
        <x:f>IFERROR(VLOOKUP(B50&amp;"|24h",'COMMENT_RECHECK'!$V$5:$Y$204,4,FALSE),"Pending")</x:f>
        <x:v>No Verified User Reply</x:v>
      </x:c>
      <x:c r="BK50" s="33" t="str">
        <x:f>IF(OR(COUNTIF($B$5:$B$104,B50)&gt;1,AND(T50="Posted",BC50&lt;&gt;"Yes"),AND(OR(BJ50="Verified User Reply",BJ50="Mixed Reply"),Y50="")),"Review","OK")</x:f>
        <x:v>OK</x:v>
      </x:c>
    </x:row>
    <x:row r="51">
      <x:c r="A51" s="49" t="n">
        <x:v>46225</x:v>
      </x:c>
      <x:c r="B51" s="32" t="str">
        <x:v>IC-0047</x:v>
      </x:c>
      <x:c r="C51" s="32" t="str">
        <x:v>Account Slot 7</x:v>
      </x:c>
      <x:c r="D51" s="32" t="str">
        <x:v>Synthetic Display 7</x:v>
      </x:c>
      <x:c r="E51" s="32" t="str">
        <x:v>15:22</x:v>
      </x:c>
      <x:c r="F51" s="32" t="str">
        <x:v>creator_case_047</x:v>
      </x:c>
      <x:c r="G51" s="32" t="str">
        <x:v>Lifestyle</x:v>
      </x:c>
      <x:c r="H51" s="32" t="str">
        <x:v>https://video.invalid/case/V0047</x:v>
      </x:c>
      <x:c r="I51" s="32" t="str">
        <x:v>เสื้อเด็ก</x:v>
      </x:c>
      <x:c r="J51" s="32" t="str">
        <x:v>2026-07-20 18:00</x:v>
      </x:c>
      <x:c r="K51" s="32" t="n">
        <x:v>2702</x:v>
      </x:c>
      <x:c r="L51" s="32" t="n">
        <x:v>228</x:v>
      </x:c>
      <x:c r="M51" s="32" t="str">
        <x:v>Main comment</x:v>
      </x:c>
      <x:c r="N51" s="32" t="str">
        <x:v>Main comment</x:v>
      </x:c>
      <x:c r="O51" s="32" t="str">
        <x:v>เสื้อไหมพรมลุคนี้ดูเรียบแต่มีเสน่ห์ดีค่ะ ตัวครอบกระดุมโทนมุกแบบในรูปเข้ากับลุคคลีนและไม่ทำให้ชุดดูแน่นเกินไป</x:v>
      </x:c>
      <x:c r="P51" s="32" t="str">
        <x:v>IMG002</x:v>
      </x:c>
      <x:c r="Q51" s="32" t="str">
        <x:v>White shirt with floral fashion-button details at the collar and cuff</x:v>
      </x:c>
      <x:c r="R51" s="32" t="str">
        <x:v>Synthetic context before</x:v>
      </x:c>
      <x:c r="S51" s="32" t="str">
        <x:v>Synthetic context after</x:v>
      </x:c>
      <x:c r="T51" s="32" t="str">
        <x:v>Posted</x:v>
      </x:c>
      <x:c r="U51" s="32" t="str">
        <x:f>IFERROR(VLOOKUP(B51&amp;"|24h",'COMMENT_RECHECK'!$V$5:$Y$204,2,FALSE),"Pending")</x:f>
        <x:v>Visible</x:v>
      </x:c>
      <x:c r="V51" s="32" t="n">
        <x:v>0</x:v>
      </x:c>
      <x:c r="W51" s="32" t="str"/>
      <x:c r="X51" s="32" t="n">
        <x:v>0</x:v>
      </x:c>
      <x:c r="Y51" s="32" t="str">
        <x:v>EVD-SYN-0047-POST</x:v>
      </x:c>
      <x:c r="Z51" s="32" t="str"/>
      <x:c r="AA51" s="32" t="str">
        <x:v>Core</x:v>
      </x:c>
      <x:c r="AB51" s="32" t="str">
        <x:v>N/A</x:v>
      </x:c>
      <x:c r="AC51" s="32" t="str">
        <x:v>Styled</x:v>
      </x:c>
      <x:c r="AD51" s="32" t="str">
        <x:v>TH</x:v>
      </x:c>
      <x:c r="AE51" s="32" t="str">
        <x:v>Yes</x:v>
      </x:c>
      <x:c r="AF51" s="32" t="str">
        <x:v>Standard</x:v>
      </x:c>
      <x:c r="AG51" s="32" t="str">
        <x:v>LIB-007</x:v>
      </x:c>
      <x:c r="AH51" s="32" t="str">
        <x:v>TH</x:v>
      </x:c>
      <x:c r="AI51" s="32" t="str">
        <x:v>Main</x:v>
      </x:c>
      <x:c r="AJ51" s="32" t="str">
        <x:v>None</x:v>
      </x:c>
      <x:c r="AK51" s="32" t="str">
        <x:v>inputs/product_images/IMG002.png</x:v>
      </x:c>
      <x:c r="AL51" s="32" t="str"/>
      <x:c r="AM51" s="32" t="str">
        <x:v>N/A</x:v>
      </x:c>
      <x:c r="AN51" s="32" t="str">
        <x:v>N/A</x:v>
      </x:c>
      <x:c r="AO51" s="32" t="str"/>
      <x:c r="AP51" s="32" t="str">
        <x:v>No</x:v>
      </x:c>
      <x:c r="AQ51" s="32" t="str">
        <x:v>Not Started</x:v>
      </x:c>
      <x:c r="AR51" s="32" t="str">
        <x:v>N/A</x:v>
      </x:c>
      <x:c r="AS51" s="32" t="str">
        <x:f>IFERROR(VLOOKUP(B51&amp;"|24h",'COMMENT_RECHECK'!$V$5:$Y$204,3,FALSE),"")</x:f>
        <x:v>None</x:v>
      </x:c>
      <x:c r="AT51" s="32" t="str">
        <x:v>[SANITIZED]</x:v>
      </x:c>
      <x:c r="AU51" s="32" t="str">
        <x:v>case_account_07</x:v>
      </x:c>
      <x:c r="AV51" s="32" t="str">
        <x:v>[SANITIZED]</x:v>
      </x:c>
      <x:c r="AW51" s="32" t="str">
        <x:v>[SANITIZED]</x:v>
      </x:c>
      <x:c r="AX51" s="32" t="str">
        <x:v>[SANITIZED]</x:v>
      </x:c>
      <x:c r="AY51" s="32" t="str">
        <x:v>Manual Simulation</x:v>
      </x:c>
      <x:c r="AZ51" s="32" t="str">
        <x:v>2026-07-21 15:22</x:v>
      </x:c>
      <x:c r="BA51" s="32" t="str">
        <x:v>2026-07-21 15:22</x:v>
      </x:c>
      <x:c r="BB51" s="32" t="str">
        <x:v>Yes</x:v>
      </x:c>
      <x:c r="BC51" s="32" t="str">
        <x:v>Yes</x:v>
      </x:c>
      <x:c r="BD51" s="32" t="str"/>
      <x:c r="BE51" s="32" t="str"/>
      <x:c r="BF51" s="32" t="str">
        <x:v>No</x:v>
      </x:c>
      <x:c r="BG51" s="32" t="str">
        <x:v>No</x:v>
      </x:c>
      <x:c r="BH51" s="32" t="n">
        <x:v>0</x:v>
      </x:c>
      <x:c r="BI51" s="32" t="str">
        <x:v>24h</x:v>
      </x:c>
      <x:c r="BJ51" s="32" t="str">
        <x:f>IFERROR(VLOOKUP(B51&amp;"|24h",'COMMENT_RECHECK'!$V$5:$Y$204,4,FALSE),"Pending")</x:f>
        <x:v>No Verified User Reply</x:v>
      </x:c>
      <x:c r="BK51" s="33" t="str">
        <x:f>IF(OR(COUNTIF($B$5:$B$104,B51)&gt;1,AND(T51="Posted",BC51&lt;&gt;"Yes"),AND(OR(BJ51="Verified User Reply",BJ51="Mixed Reply"),Y51="")),"Review","OK")</x:f>
        <x:v>OK</x:v>
      </x:c>
    </x:row>
    <x:row r="52">
      <x:c r="A52" s="49" t="n">
        <x:v>46225</x:v>
      </x:c>
      <x:c r="B52" s="32" t="str">
        <x:v>IC-0048</x:v>
      </x:c>
      <x:c r="C52" s="32" t="str">
        <x:v>Account Slot 8</x:v>
      </x:c>
      <x:c r="D52" s="32" t="str">
        <x:v>Synthetic Display 8</x:v>
      </x:c>
      <x:c r="E52" s="32" t="str">
        <x:v>16:29</x:v>
      </x:c>
      <x:c r="F52" s="32" t="str">
        <x:v>creator_case_048</x:v>
      </x:c>
      <x:c r="G52" s="32" t="str">
        <x:v>Tailoring</x:v>
      </x:c>
      <x:c r="H52" s="32" t="str">
        <x:v>https://video.invalid/case/V0048</x:v>
      </x:c>
      <x:c r="I52" s="32" t="str">
        <x:v>เสื้อคลุม</x:v>
      </x:c>
      <x:c r="J52" s="32" t="str">
        <x:v>2026-07-20 18:00</x:v>
      </x:c>
      <x:c r="K52" s="32" t="n">
        <x:v>2739</x:v>
      </x:c>
      <x:c r="L52" s="32" t="n">
        <x:v>231</x:v>
      </x:c>
      <x:c r="M52" s="32" t="str">
        <x:v>Main comment</x:v>
      </x:c>
      <x:c r="N52" s="32" t="str">
        <x:v>Main comment</x:v>
      </x:c>
      <x:c r="O52" s="32" t="str">
        <x:v>คาดิแกนตัวนี้ดูแมตช์ง่ายและใช้ได้หลายมู้ดมาก ลุคนี้ลองเพิ่มดีเทลโทนมุกแบบในรูปเพียงหนึ่งถึงสองจุดก็น่าจะน่ารักขึ้นมาก</x:v>
      </x:c>
      <x:c r="P52" s="32" t="str">
        <x:v>IMG002</x:v>
      </x:c>
      <x:c r="Q52" s="32" t="str">
        <x:v>White shirt with floral fashion-button details at the collar and cuff</x:v>
      </x:c>
      <x:c r="R52" s="32" t="str">
        <x:v>Synthetic context before</x:v>
      </x:c>
      <x:c r="S52" s="32" t="str">
        <x:v>Synthetic context after</x:v>
      </x:c>
      <x:c r="T52" s="32" t="str">
        <x:v>Posted</x:v>
      </x:c>
      <x:c r="U52" s="32" t="str">
        <x:f>IFERROR(VLOOKUP(B52&amp;"|24h",'COMMENT_RECHECK'!$V$5:$Y$204,2,FALSE),"Pending")</x:f>
        <x:v>Visible</x:v>
      </x:c>
      <x:c r="V52" s="32" t="n">
        <x:v>0</x:v>
      </x:c>
      <x:c r="W52" s="32" t="str"/>
      <x:c r="X52" s="32" t="n">
        <x:v>0</x:v>
      </x:c>
      <x:c r="Y52" s="32" t="str">
        <x:v>EVD-SYN-0048-POST</x:v>
      </x:c>
      <x:c r="Z52" s="32" t="str"/>
      <x:c r="AA52" s="32" t="str">
        <x:v>Core</x:v>
      </x:c>
      <x:c r="AB52" s="32" t="str">
        <x:v>N/A</x:v>
      </x:c>
      <x:c r="AC52" s="32" t="str">
        <x:v>Neutral</x:v>
      </x:c>
      <x:c r="AD52" s="32" t="str">
        <x:v>TH</x:v>
      </x:c>
      <x:c r="AE52" s="32" t="str">
        <x:v>Yes</x:v>
      </x:c>
      <x:c r="AF52" s="32" t="str">
        <x:v>Standard</x:v>
      </x:c>
      <x:c r="AG52" s="32" t="str">
        <x:v>LIB-008</x:v>
      </x:c>
      <x:c r="AH52" s="32" t="str">
        <x:v>TH</x:v>
      </x:c>
      <x:c r="AI52" s="32" t="str">
        <x:v>Main</x:v>
      </x:c>
      <x:c r="AJ52" s="32" t="str">
        <x:v>None</x:v>
      </x:c>
      <x:c r="AK52" s="32" t="str">
        <x:v>inputs/product_images/IMG002.png</x:v>
      </x:c>
      <x:c r="AL52" s="32" t="str"/>
      <x:c r="AM52" s="32" t="str">
        <x:v>N/A</x:v>
      </x:c>
      <x:c r="AN52" s="32" t="str">
        <x:v>N/A</x:v>
      </x:c>
      <x:c r="AO52" s="32" t="str"/>
      <x:c r="AP52" s="32" t="str">
        <x:v>No</x:v>
      </x:c>
      <x:c r="AQ52" s="32" t="str">
        <x:v>Not Started</x:v>
      </x:c>
      <x:c r="AR52" s="32" t="str">
        <x:v>N/A</x:v>
      </x:c>
      <x:c r="AS52" s="32" t="str">
        <x:f>IFERROR(VLOOKUP(B52&amp;"|24h",'COMMENT_RECHECK'!$V$5:$Y$204,3,FALSE),"")</x:f>
        <x:v>None</x:v>
      </x:c>
      <x:c r="AT52" s="32" t="str">
        <x:v>[SANITIZED]</x:v>
      </x:c>
      <x:c r="AU52" s="32" t="str">
        <x:v>case_account_08</x:v>
      </x:c>
      <x:c r="AV52" s="32" t="str">
        <x:v>[SANITIZED]</x:v>
      </x:c>
      <x:c r="AW52" s="32" t="str">
        <x:v>[SANITIZED]</x:v>
      </x:c>
      <x:c r="AX52" s="32" t="str">
        <x:v>[SANITIZED]</x:v>
      </x:c>
      <x:c r="AY52" s="32" t="str">
        <x:v>Manual Simulation</x:v>
      </x:c>
      <x:c r="AZ52" s="32" t="str">
        <x:v>2026-07-21 16:29</x:v>
      </x:c>
      <x:c r="BA52" s="32" t="str">
        <x:v>2026-07-21 16:29</x:v>
      </x:c>
      <x:c r="BB52" s="32" t="str">
        <x:v>Yes</x:v>
      </x:c>
      <x:c r="BC52" s="32" t="str">
        <x:v>Yes</x:v>
      </x:c>
      <x:c r="BD52" s="32" t="str"/>
      <x:c r="BE52" s="32" t="str"/>
      <x:c r="BF52" s="32" t="str">
        <x:v>No</x:v>
      </x:c>
      <x:c r="BG52" s="32" t="str">
        <x:v>No</x:v>
      </x:c>
      <x:c r="BH52" s="32" t="n">
        <x:v>0</x:v>
      </x:c>
      <x:c r="BI52" s="32" t="str">
        <x:v>24h</x:v>
      </x:c>
      <x:c r="BJ52" s="32" t="str">
        <x:f>IFERROR(VLOOKUP(B52&amp;"|24h",'COMMENT_RECHECK'!$V$5:$Y$204,4,FALSE),"Pending")</x:f>
        <x:v>No Verified User Reply</x:v>
      </x:c>
      <x:c r="BK52" s="33" t="str">
        <x:f>IF(OR(COUNTIF($B$5:$B$104,B52)&gt;1,AND(T52="Posted",BC52&lt;&gt;"Yes"),AND(OR(BJ52="Verified User Reply",BJ52="Mixed Reply"),Y52="")),"Review","OK")</x:f>
        <x:v>OK</x:v>
      </x:c>
    </x:row>
    <x:row r="53">
      <x:c r="A53" s="49" t="n">
        <x:v>46225</x:v>
      </x:c>
      <x:c r="B53" s="32" t="str">
        <x:v>IC-0049</x:v>
      </x:c>
      <x:c r="C53" s="32" t="str">
        <x:v>Account Slot 9</x:v>
      </x:c>
      <x:c r="D53" s="32" t="str">
        <x:v>Synthetic Display 9</x:v>
      </x:c>
      <x:c r="E53" s="32" t="str">
        <x:v>17:36</x:v>
      </x:c>
      <x:c r="F53" s="32" t="str">
        <x:v>creator_case_049</x:v>
      </x:c>
      <x:c r="G53" s="32" t="str">
        <x:v>Fashion</x:v>
      </x:c>
      <x:c r="H53" s="32" t="str">
        <x:v>https://video.invalid/case/V0049</x:v>
      </x:c>
      <x:c r="I53" s="32" t="str">
        <x:v>การจับคู่สี</x:v>
      </x:c>
      <x:c r="J53" s="32" t="str">
        <x:v>2026-07-20 18:00</x:v>
      </x:c>
      <x:c r="K53" s="32" t="n">
        <x:v>2776</x:v>
      </x:c>
      <x:c r="L53" s="32" t="n">
        <x:v>234</x:v>
      </x:c>
      <x:c r="M53" s="32" t="str">
        <x:v>Reply</x:v>
      </x:c>
      <x:c r="N53" s="32" t="str">
        <x:v>Synthetic parent</x:v>
      </x:c>
      <x:c r="O53" s="32" t="str">
        <x:v>ชอบแนวเสื้อที่ดูเป็นระเบียบและไม่ทำให้ลุคแข็งเกินไป ดีเทลกระดุมดอกไม้ตรงคอและปลายแขนแบบในรูปช่วยให้เสื้อเรียบดูมีเรื่องราวขึ้นเลย</x:v>
      </x:c>
      <x:c r="P53" s="32" t="str">
        <x:v>IMG002</x:v>
      </x:c>
      <x:c r="Q53" s="32" t="str">
        <x:v>White shirt with floral fashion-button details at the collar and cuff</x:v>
      </x:c>
      <x:c r="R53" s="32" t="str">
        <x:v>Synthetic context before</x:v>
      </x:c>
      <x:c r="S53" s="32" t="str">
        <x:v>Synthetic context after</x:v>
      </x:c>
      <x:c r="T53" s="32" t="str">
        <x:v>Posted</x:v>
      </x:c>
      <x:c r="U53" s="32" t="str">
        <x:f>IFERROR(VLOOKUP(B53&amp;"|24h",'COMMENT_RECHECK'!$V$5:$Y$204,2,FALSE),"Pending")</x:f>
        <x:v>Visible</x:v>
      </x:c>
      <x:c r="V53" s="32" t="n">
        <x:v>0</x:v>
      </x:c>
      <x:c r="W53" s="32" t="str"/>
      <x:c r="X53" s="32" t="n">
        <x:v>0</x:v>
      </x:c>
      <x:c r="Y53" s="32" t="str">
        <x:v>EVD-SYN-0049-POST</x:v>
      </x:c>
      <x:c r="Z53" s="32" t="str"/>
      <x:c r="AA53" s="32" t="str">
        <x:v>Core</x:v>
      </x:c>
      <x:c r="AB53" s="32" t="str">
        <x:v>N/A</x:v>
      </x:c>
      <x:c r="AC53" s="32" t="str">
        <x:v>Styled</x:v>
      </x:c>
      <x:c r="AD53" s="32" t="str">
        <x:v>TH</x:v>
      </x:c>
      <x:c r="AE53" s="32" t="str">
        <x:v>Yes</x:v>
      </x:c>
      <x:c r="AF53" s="32" t="str">
        <x:v>Standard</x:v>
      </x:c>
      <x:c r="AG53" s="32" t="str">
        <x:v>LIB-009</x:v>
      </x:c>
      <x:c r="AH53" s="32" t="str">
        <x:v>TH</x:v>
      </x:c>
      <x:c r="AI53" s="32" t="str">
        <x:v>Reply</x:v>
      </x:c>
      <x:c r="AJ53" s="32" t="str">
        <x:v>Reference</x:v>
      </x:c>
      <x:c r="AK53" s="32" t="str">
        <x:v>inputs/product_images/IMG002.png</x:v>
      </x:c>
      <x:c r="AL53" s="32" t="str"/>
      <x:c r="AM53" s="32" t="str">
        <x:v>Yes</x:v>
      </x:c>
      <x:c r="AN53" s="32" t="str">
        <x:v>Complete</x:v>
      </x:c>
      <x:c r="AO53" s="32" t="str"/>
      <x:c r="AP53" s="32" t="str">
        <x:v>No</x:v>
      </x:c>
      <x:c r="AQ53" s="32" t="str">
        <x:v>Not Started</x:v>
      </x:c>
      <x:c r="AR53" s="32" t="str">
        <x:v>Fit</x:v>
      </x:c>
      <x:c r="AS53" s="32" t="str">
        <x:f>IFERROR(VLOOKUP(B53&amp;"|24h",'COMMENT_RECHECK'!$V$5:$Y$204,3,FALSE),"")</x:f>
        <x:v>None</x:v>
      </x:c>
      <x:c r="AT53" s="32" t="str">
        <x:v>[SANITIZED]</x:v>
      </x:c>
      <x:c r="AU53" s="32" t="str">
        <x:v>case_account_09</x:v>
      </x:c>
      <x:c r="AV53" s="32" t="str">
        <x:v>[SANITIZED]</x:v>
      </x:c>
      <x:c r="AW53" s="32" t="str">
        <x:v>[SANITIZED]</x:v>
      </x:c>
      <x:c r="AX53" s="32" t="str">
        <x:v>[SANITIZED]</x:v>
      </x:c>
      <x:c r="AY53" s="32" t="str">
        <x:v>Manual Simulation</x:v>
      </x:c>
      <x:c r="AZ53" s="32" t="str">
        <x:v>2026-07-21 17:36</x:v>
      </x:c>
      <x:c r="BA53" s="32" t="str">
        <x:v>2026-07-21 17:36</x:v>
      </x:c>
      <x:c r="BB53" s="32" t="str">
        <x:v>Yes</x:v>
      </x:c>
      <x:c r="BC53" s="32" t="str">
        <x:v>Yes</x:v>
      </x:c>
      <x:c r="BD53" s="32" t="str"/>
      <x:c r="BE53" s="32" t="str"/>
      <x:c r="BF53" s="32" t="str">
        <x:v>No</x:v>
      </x:c>
      <x:c r="BG53" s="32" t="str">
        <x:v>No</x:v>
      </x:c>
      <x:c r="BH53" s="32" t="n">
        <x:v>0</x:v>
      </x:c>
      <x:c r="BI53" s="32" t="str">
        <x:v>24h</x:v>
      </x:c>
      <x:c r="BJ53" s="32" t="str">
        <x:f>IFERROR(VLOOKUP(B53&amp;"|24h",'COMMENT_RECHECK'!$V$5:$Y$204,4,FALSE),"Pending")</x:f>
        <x:v>No Verified User Reply</x:v>
      </x:c>
      <x:c r="BK53" s="33" t="str">
        <x:f>IF(OR(COUNTIF($B$5:$B$104,B53)&gt;1,AND(T53="Posted",BC53&lt;&gt;"Yes"),AND(OR(BJ53="Verified User Reply",BJ53="Mixed Reply"),Y53="")),"Review","OK")</x:f>
        <x:v>OK</x:v>
      </x:c>
    </x:row>
    <x:row r="54">
      <x:c r="A54" s="49" t="n">
        <x:v>46225</x:v>
      </x:c>
      <x:c r="B54" s="32" t="str">
        <x:v>IC-0050</x:v>
      </x:c>
      <x:c r="C54" s="32" t="str">
        <x:v>Account Slot 10</x:v>
      </x:c>
      <x:c r="D54" s="32" t="str">
        <x:v>Synthetic Display 10</x:v>
      </x:c>
      <x:c r="E54" s="32" t="str">
        <x:v>18:43</x:v>
      </x:c>
      <x:c r="F54" s="32" t="str">
        <x:v>creator_case_050</x:v>
      </x:c>
      <x:c r="G54" s="32" t="str">
        <x:v>DIY</x:v>
      </x:c>
      <x:c r="H54" s="32" t="str">
        <x:v>https://video.invalid/case/V0050</x:v>
      </x:c>
      <x:c r="I54" s="32" t="str">
        <x:v>รีวิวงานฝีมือ</x:v>
      </x:c>
      <x:c r="J54" s="32" t="str">
        <x:v>2026-07-20 18:00</x:v>
      </x:c>
      <x:c r="K54" s="32" t="n">
        <x:v>2813</x:v>
      </x:c>
      <x:c r="L54" s="32" t="n">
        <x:v>237</x:v>
      </x:c>
      <x:c r="M54" s="32" t="str">
        <x:v>Main comment</x:v>
      </x:c>
      <x:c r="N54" s="32" t="str">
        <x:v>Main comment</x:v>
      </x:c>
      <x:c r="O54" s="32" t="str">
        <x:v>สูทลุคนี้เนี้ยบแต่ไม่ดูแข็งจนเกินไปค่ะ ลุคนี้ลองเพิ่มตัวครอบกระดุมโทนมุกกับ blazer แบบในรูป น่าจะดูแพงขึ้นพอดี</x:v>
      </x:c>
      <x:c r="P54" s="32" t="str">
        <x:v>IMG004</x:v>
      </x:c>
      <x:c r="Q54" s="32" t="str">
        <x:v>Polished black blazer look with pearl and monochrome fashion-button details</x:v>
      </x:c>
      <x:c r="R54" s="32" t="str">
        <x:v>Synthetic context before</x:v>
      </x:c>
      <x:c r="S54" s="32" t="str">
        <x:v>Synthetic context after</x:v>
      </x:c>
      <x:c r="T54" s="32" t="str">
        <x:v>Posted</x:v>
      </x:c>
      <x:c r="U54" s="32" t="str">
        <x:f>IFERROR(VLOOKUP(B54&amp;"|24h",'COMMENT_RECHECK'!$V$5:$Y$204,2,FALSE),"Pending")</x:f>
        <x:v>Visible</x:v>
      </x:c>
      <x:c r="V54" s="32" t="n">
        <x:v>1</x:v>
      </x:c>
      <x:c r="W54" s="32" t="str">
        <x:v>Synthetic reply preview</x:v>
      </x:c>
      <x:c r="X54" s="32" t="n">
        <x:v>0</x:v>
      </x:c>
      <x:c r="Y54" s="32" t="str">
        <x:v>EVD-SYN-0050-POST</x:v>
      </x:c>
      <x:c r="Z54" s="32" t="str"/>
      <x:c r="AA54" s="32" t="str">
        <x:v>Core</x:v>
      </x:c>
      <x:c r="AB54" s="32" t="str">
        <x:v>N/A</x:v>
      </x:c>
      <x:c r="AC54" s="32" t="str">
        <x:v>Neutral</x:v>
      </x:c>
      <x:c r="AD54" s="32" t="str">
        <x:v>TH</x:v>
      </x:c>
      <x:c r="AE54" s="32" t="str">
        <x:v>Yes</x:v>
      </x:c>
      <x:c r="AF54" s="32" t="str">
        <x:v>Standard</x:v>
      </x:c>
      <x:c r="AG54" s="32" t="str">
        <x:v>LIB-010</x:v>
      </x:c>
      <x:c r="AH54" s="32" t="str">
        <x:v>TH</x:v>
      </x:c>
      <x:c r="AI54" s="32" t="str">
        <x:v>Main</x:v>
      </x:c>
      <x:c r="AJ54" s="32" t="str">
        <x:v>None</x:v>
      </x:c>
      <x:c r="AK54" s="32" t="str">
        <x:v>inputs/product_images/IMG004.png</x:v>
      </x:c>
      <x:c r="AL54" s="32" t="str"/>
      <x:c r="AM54" s="32" t="str">
        <x:v>N/A</x:v>
      </x:c>
      <x:c r="AN54" s="32" t="str">
        <x:v>N/A</x:v>
      </x:c>
      <x:c r="AO54" s="32" t="str"/>
      <x:c r="AP54" s="32" t="str">
        <x:v>Potential</x:v>
      </x:c>
      <x:c r="AQ54" s="32" t="str">
        <x:v>Not Started</x:v>
      </x:c>
      <x:c r="AR54" s="32" t="str">
        <x:v>N/A</x:v>
      </x:c>
      <x:c r="AS54" s="32" t="str">
        <x:f>IFERROR(VLOOKUP(B54&amp;"|24h",'COMMENT_RECHECK'!$V$5:$Y$204,3,FALSE),"")</x:f>
        <x:v>User</x:v>
      </x:c>
      <x:c r="AT54" s="32" t="str">
        <x:v>[SANITIZED]</x:v>
      </x:c>
      <x:c r="AU54" s="32" t="str">
        <x:v>case_account_10</x:v>
      </x:c>
      <x:c r="AV54" s="32" t="str">
        <x:v>[SANITIZED]</x:v>
      </x:c>
      <x:c r="AW54" s="32" t="str">
        <x:v>[SANITIZED]</x:v>
      </x:c>
      <x:c r="AX54" s="32" t="str">
        <x:v>[SANITIZED]</x:v>
      </x:c>
      <x:c r="AY54" s="32" t="str">
        <x:v>Manual Simulation</x:v>
      </x:c>
      <x:c r="AZ54" s="32" t="str">
        <x:v>2026-07-21 18:43</x:v>
      </x:c>
      <x:c r="BA54" s="32" t="str">
        <x:v>2026-07-21 18:43</x:v>
      </x:c>
      <x:c r="BB54" s="32" t="str">
        <x:v>Yes</x:v>
      </x:c>
      <x:c r="BC54" s="32" t="str">
        <x:v>Yes</x:v>
      </x:c>
      <x:c r="BD54" s="32" t="str"/>
      <x:c r="BE54" s="32" t="str"/>
      <x:c r="BF54" s="32" t="str">
        <x:v>No</x:v>
      </x:c>
      <x:c r="BG54" s="32" t="str">
        <x:v>No</x:v>
      </x:c>
      <x:c r="BH54" s="32" t="n">
        <x:v>0</x:v>
      </x:c>
      <x:c r="BI54" s="32" t="str">
        <x:v>24h</x:v>
      </x:c>
      <x:c r="BJ54" s="32" t="str">
        <x:f>IFERROR(VLOOKUP(B54&amp;"|24h",'COMMENT_RECHECK'!$V$5:$Y$204,4,FALSE),"Pending")</x:f>
        <x:v>Verified User Reply</x:v>
      </x:c>
      <x:c r="BK54" s="33" t="str">
        <x:f>IF(OR(COUNTIF($B$5:$B$104,B54)&gt;1,AND(T54="Posted",BC54&lt;&gt;"Yes"),AND(OR(BJ54="Verified User Reply",BJ54="Mixed Reply"),Y54="")),"Review","OK")</x:f>
        <x:v>OK</x:v>
      </x:c>
    </x:row>
    <x:row r="55">
      <x:c r="A55" s="49" t="n">
        <x:v>46226</x:v>
      </x:c>
      <x:c r="B55" s="32" t="str">
        <x:v>IC-0051</x:v>
      </x:c>
      <x:c r="C55" s="32" t="str">
        <x:v>Account Slot 1</x:v>
      </x:c>
      <x:c r="D55" s="32" t="str">
        <x:v>Synthetic Display 1</x:v>
      </x:c>
      <x:c r="E55" s="32" t="str">
        <x:v>09:50</x:v>
      </x:c>
      <x:c r="F55" s="32" t="str">
        <x:v>creator_case_051</x:v>
      </x:c>
      <x:c r="G55" s="32" t="str">
        <x:v>Lifestyle</x:v>
      </x:c>
      <x:c r="H55" s="32" t="str">
        <x:v>https://video.invalid/case/V0051</x:v>
      </x:c>
      <x:c r="I55" s="32" t="str">
        <x:v>เสื้อเชิ้ตทำงาน</x:v>
      </x:c>
      <x:c r="J55" s="32" t="str">
        <x:v>2026-07-20 18:00</x:v>
      </x:c>
      <x:c r="K55" s="32" t="n">
        <x:v>2850</x:v>
      </x:c>
      <x:c r="L55" s="32" t="n">
        <x:v>240</x:v>
      </x:c>
      <x:c r="M55" s="32" t="str">
        <x:v>Main comment</x:v>
      </x:c>
      <x:c r="N55" s="32" t="str">
        <x:v>Main comment</x:v>
      </x:c>
      <x:c r="O55" s="32" t="str">
        <x:v>blazer ทรงนี้ทำให้ภาพรวมดูเป็นมืออาชีพแบบพอดีค่ะ จุดเด่นเล็ก ๆ บนเบลเซอร์แบบในรูปทำให้ลุคโทนเข้มดูแพงขึ้นโดยไม่เยอะเกินไป</x:v>
      </x:c>
      <x:c r="P55" s="32" t="str">
        <x:v>IMG004</x:v>
      </x:c>
      <x:c r="Q55" s="32" t="str">
        <x:v>Polished black blazer look with pearl and monochrome fashion-button details</x:v>
      </x:c>
      <x:c r="R55" s="32" t="str">
        <x:v>Synthetic context before</x:v>
      </x:c>
      <x:c r="S55" s="32" t="str">
        <x:v>Synthetic context after</x:v>
      </x:c>
      <x:c r="T55" s="32" t="str">
        <x:v>Posted</x:v>
      </x:c>
      <x:c r="U55" s="32" t="str">
        <x:f>IFERROR(VLOOKUP(B55&amp;"|24h",'COMMENT_RECHECK'!$V$5:$Y$204,2,FALSE),"Pending")</x:f>
        <x:v>Missing</x:v>
      </x:c>
      <x:c r="V55" s="32" t="n">
        <x:v>0</x:v>
      </x:c>
      <x:c r="W55" s="32" t="str"/>
      <x:c r="X55" s="32" t="n">
        <x:v>0</x:v>
      </x:c>
      <x:c r="Y55" s="32" t="str">
        <x:v>EVD-SYN-0051-POST</x:v>
      </x:c>
      <x:c r="Z55" s="32" t="str"/>
      <x:c r="AA55" s="32" t="str">
        <x:v>Core</x:v>
      </x:c>
      <x:c r="AB55" s="32" t="str">
        <x:v>N/A</x:v>
      </x:c>
      <x:c r="AC55" s="32" t="str">
        <x:v>Styled</x:v>
      </x:c>
      <x:c r="AD55" s="32" t="str">
        <x:v>TH</x:v>
      </x:c>
      <x:c r="AE55" s="32" t="str">
        <x:v>Yes</x:v>
      </x:c>
      <x:c r="AF55" s="32" t="str">
        <x:v>Standard</x:v>
      </x:c>
      <x:c r="AG55" s="32" t="str">
        <x:v>LIB-011</x:v>
      </x:c>
      <x:c r="AH55" s="32" t="str">
        <x:v>TH</x:v>
      </x:c>
      <x:c r="AI55" s="32" t="str">
        <x:v>Main</x:v>
      </x:c>
      <x:c r="AJ55" s="32" t="str">
        <x:v>None</x:v>
      </x:c>
      <x:c r="AK55" s="32" t="str">
        <x:v>inputs/product_images/IMG004.png</x:v>
      </x:c>
      <x:c r="AL55" s="32" t="str"/>
      <x:c r="AM55" s="32" t="str">
        <x:v>N/A</x:v>
      </x:c>
      <x:c r="AN55" s="32" t="str">
        <x:v>N/A</x:v>
      </x:c>
      <x:c r="AO55" s="32" t="str"/>
      <x:c r="AP55" s="32" t="str">
        <x:v>No</x:v>
      </x:c>
      <x:c r="AQ55" s="32" t="str">
        <x:v>Not Started</x:v>
      </x:c>
      <x:c r="AR55" s="32" t="str">
        <x:v>N/A</x:v>
      </x:c>
      <x:c r="AS55" s="32" t="str">
        <x:f>IFERROR(VLOOKUP(B55&amp;"|24h",'COMMENT_RECHECK'!$V$5:$Y$204,3,FALSE),"")</x:f>
        <x:v>None</x:v>
      </x:c>
      <x:c r="AT55" s="32" t="str">
        <x:v>[SANITIZED]</x:v>
      </x:c>
      <x:c r="AU55" s="32" t="str">
        <x:v>case_account_01</x:v>
      </x:c>
      <x:c r="AV55" s="32" t="str">
        <x:v>[SANITIZED]</x:v>
      </x:c>
      <x:c r="AW55" s="32" t="str">
        <x:v>[SANITIZED]</x:v>
      </x:c>
      <x:c r="AX55" s="32" t="str">
        <x:v>[SANITIZED]</x:v>
      </x:c>
      <x:c r="AY55" s="32" t="str">
        <x:v>Manual Simulation</x:v>
      </x:c>
      <x:c r="AZ55" s="32" t="str">
        <x:v>2026-07-22 09:50</x:v>
      </x:c>
      <x:c r="BA55" s="32" t="str">
        <x:v>2026-07-22 09:50</x:v>
      </x:c>
      <x:c r="BB55" s="32" t="str">
        <x:v>Yes</x:v>
      </x:c>
      <x:c r="BC55" s="32" t="str">
        <x:v>Yes</x:v>
      </x:c>
      <x:c r="BD55" s="32" t="str"/>
      <x:c r="BE55" s="32" t="str"/>
      <x:c r="BF55" s="32" t="str">
        <x:v>No</x:v>
      </x:c>
      <x:c r="BG55" s="32" t="str">
        <x:v>No</x:v>
      </x:c>
      <x:c r="BH55" s="32" t="n">
        <x:v>0</x:v>
      </x:c>
      <x:c r="BI55" s="32" t="str">
        <x:v>24h</x:v>
      </x:c>
      <x:c r="BJ55" s="32" t="str">
        <x:f>IFERROR(VLOOKUP(B55&amp;"|24h",'COMMENT_RECHECK'!$V$5:$Y$204,4,FALSE),"Pending")</x:f>
        <x:v>No Verified User Reply</x:v>
      </x:c>
      <x:c r="BK55" s="33" t="str">
        <x:f>IF(OR(COUNTIF($B$5:$B$104,B55)&gt;1,AND(T55="Posted",BC55&lt;&gt;"Yes"),AND(OR(BJ55="Verified User Reply",BJ55="Mixed Reply"),Y55="")),"Review","OK")</x:f>
        <x:v>OK</x:v>
      </x:c>
    </x:row>
    <x:row r="56">
      <x:c r="A56" s="49" t="n">
        <x:v>46226</x:v>
      </x:c>
      <x:c r="B56" s="32" t="str">
        <x:v>IC-0052</x:v>
      </x:c>
      <x:c r="C56" s="32" t="str">
        <x:v>Account Slot 2</x:v>
      </x:c>
      <x:c r="D56" s="32" t="str">
        <x:v>Synthetic Display 2</x:v>
      </x:c>
      <x:c r="E56" s="32" t="str">
        <x:v>10:57</x:v>
      </x:c>
      <x:c r="F56" s="32" t="str">
        <x:v>creator_case_052</x:v>
      </x:c>
      <x:c r="G56" s="32" t="str">
        <x:v>Tailoring</x:v>
      </x:c>
      <x:c r="H56" s="32" t="str">
        <x:v>https://video.invalid/case/V0052</x:v>
      </x:c>
      <x:c r="I56" s="32" t="str">
        <x:v>แจ็กเก็ตเดนิม</x:v>
      </x:c>
      <x:c r="J56" s="32" t="str">
        <x:v>2026-07-20 18:00</x:v>
      </x:c>
      <x:c r="K56" s="32" t="n">
        <x:v>2887</x:v>
      </x:c>
      <x:c r="L56" s="32" t="n">
        <x:v>243</x:v>
      </x:c>
      <x:c r="M56" s="32" t="str">
        <x:v>Main comment</x:v>
      </x:c>
      <x:c r="N56" s="32" t="str">
        <x:v>Main comment</x:v>
      </x:c>
      <x:c r="O56" s="32" t="str">
        <x:v>ชอบความคลีนของเสื้อเชิ้ตลุคนี้ ดูใส่ได้หลายโอกาสเลย ลองจับคู่ชุดนี้กับดีเทลกระดุมโทนชมพูแบบในรูปค่ะ ยังคลีนแต่ดูมีอะไรมากขึ้น</x:v>
      </x:c>
      <x:c r="P56" s="32" t="str">
        <x:v>IMG002</x:v>
      </x:c>
      <x:c r="Q56" s="32" t="str">
        <x:v>White shirt with floral fashion-button details at the collar and cuff</x:v>
      </x:c>
      <x:c r="R56" s="32" t="str">
        <x:v>Synthetic context before</x:v>
      </x:c>
      <x:c r="S56" s="32" t="str">
        <x:v>Synthetic context after</x:v>
      </x:c>
      <x:c r="T56" s="32" t="str">
        <x:v>Posted</x:v>
      </x:c>
      <x:c r="U56" s="32" t="str">
        <x:f>IFERROR(VLOOKUP(B56&amp;"|24h",'COMMENT_RECHECK'!$V$5:$Y$204,2,FALSE),"Pending")</x:f>
        <x:v>Visible</x:v>
      </x:c>
      <x:c r="V56" s="32" t="n">
        <x:v>0</x:v>
      </x:c>
      <x:c r="W56" s="32" t="str"/>
      <x:c r="X56" s="32" t="n">
        <x:v>0</x:v>
      </x:c>
      <x:c r="Y56" s="32" t="str"/>
      <x:c r="Z56" s="32" t="str"/>
      <x:c r="AA56" s="32" t="str">
        <x:v>Core</x:v>
      </x:c>
      <x:c r="AB56" s="32" t="str">
        <x:v>N/A</x:v>
      </x:c>
      <x:c r="AC56" s="32" t="str">
        <x:v>Neutral</x:v>
      </x:c>
      <x:c r="AD56" s="32" t="str">
        <x:v>TH</x:v>
      </x:c>
      <x:c r="AE56" s="32" t="str">
        <x:v>Yes</x:v>
      </x:c>
      <x:c r="AF56" s="32" t="str">
        <x:v>Standard</x:v>
      </x:c>
      <x:c r="AG56" s="32" t="str">
        <x:v>LIB-012</x:v>
      </x:c>
      <x:c r="AH56" s="32" t="str">
        <x:v>TH</x:v>
      </x:c>
      <x:c r="AI56" s="32" t="str">
        <x:v>Main</x:v>
      </x:c>
      <x:c r="AJ56" s="32" t="str">
        <x:v>None</x:v>
      </x:c>
      <x:c r="AK56" s="32" t="str">
        <x:v>inputs/product_images/IMG002.png</x:v>
      </x:c>
      <x:c r="AL56" s="32" t="str"/>
      <x:c r="AM56" s="32" t="str">
        <x:v>N/A</x:v>
      </x:c>
      <x:c r="AN56" s="32" t="str">
        <x:v>N/A</x:v>
      </x:c>
      <x:c r="AO56" s="32" t="str"/>
      <x:c r="AP56" s="32" t="str">
        <x:v>No</x:v>
      </x:c>
      <x:c r="AQ56" s="32" t="str">
        <x:v>Not Started</x:v>
      </x:c>
      <x:c r="AR56" s="32" t="str">
        <x:v>N/A</x:v>
      </x:c>
      <x:c r="AS56" s="32" t="str">
        <x:f>IFERROR(VLOOKUP(B56&amp;"|24h",'COMMENT_RECHECK'!$V$5:$Y$204,3,FALSE),"")</x:f>
        <x:v>None</x:v>
      </x:c>
      <x:c r="AT56" s="32" t="str">
        <x:v>[SANITIZED]</x:v>
      </x:c>
      <x:c r="AU56" s="32" t="str">
        <x:v>case_account_02</x:v>
      </x:c>
      <x:c r="AV56" s="32" t="str">
        <x:v>[SANITIZED]</x:v>
      </x:c>
      <x:c r="AW56" s="32" t="str">
        <x:v>[SANITIZED]</x:v>
      </x:c>
      <x:c r="AX56" s="32" t="str">
        <x:v>[SANITIZED]</x:v>
      </x:c>
      <x:c r="AY56" s="32" t="str">
        <x:v>Manual Simulation</x:v>
      </x:c>
      <x:c r="AZ56" s="32" t="str">
        <x:v>2026-07-22 10:57</x:v>
      </x:c>
      <x:c r="BA56" s="32" t="str">
        <x:v>2026-07-22 10:57</x:v>
      </x:c>
      <x:c r="BB56" s="32" t="str">
        <x:v>Yes</x:v>
      </x:c>
      <x:c r="BC56" s="32" t="str">
        <x:v>Yes</x:v>
      </x:c>
      <x:c r="BD56" s="32" t="str"/>
      <x:c r="BE56" s="32" t="str"/>
      <x:c r="BF56" s="32" t="str">
        <x:v>No</x:v>
      </x:c>
      <x:c r="BG56" s="32" t="str">
        <x:v>No</x:v>
      </x:c>
      <x:c r="BH56" s="32" t="n">
        <x:v>0</x:v>
      </x:c>
      <x:c r="BI56" s="32" t="str">
        <x:v>24h</x:v>
      </x:c>
      <x:c r="BJ56" s="32" t="str">
        <x:f>IFERROR(VLOOKUP(B56&amp;"|24h",'COMMENT_RECHECK'!$V$5:$Y$204,4,FALSE),"Pending")</x:f>
        <x:v>No Verified User Reply</x:v>
      </x:c>
      <x:c r="BK56" s="33" t="str">
        <x:f>IF(OR(COUNTIF($B$5:$B$104,B56)&gt;1,AND(T56="Posted",BC56&lt;&gt;"Yes"),AND(OR(BJ56="Verified User Reply",BJ56="Mixed Reply"),Y56="")),"Review","OK")</x:f>
        <x:v>OK</x:v>
      </x:c>
    </x:row>
    <x:row r="57">
      <x:c r="A57" s="49" t="n">
        <x:v>46226</x:v>
      </x:c>
      <x:c r="B57" s="32" t="str">
        <x:v>IC-0053</x:v>
      </x:c>
      <x:c r="C57" s="32" t="str">
        <x:v>Account Slot 3</x:v>
      </x:c>
      <x:c r="D57" s="32" t="str">
        <x:v>Synthetic Display 3</x:v>
      </x:c>
      <x:c r="E57" s="32" t="str">
        <x:v>11:04</x:v>
      </x:c>
      <x:c r="F57" s="32" t="str">
        <x:v>creator_case_053</x:v>
      </x:c>
      <x:c r="G57" s="32" t="str">
        <x:v>Fashion</x:v>
      </x:c>
      <x:c r="H57" s="32" t="str">
        <x:v>https://video.invalid/case/V0053</x:v>
      </x:c>
      <x:c r="I57" s="32" t="str">
        <x:v>เดรสออกงาน</x:v>
      </x:c>
      <x:c r="J57" s="32" t="str">
        <x:v>2026-07-20 18:00</x:v>
      </x:c>
      <x:c r="K57" s="32" t="n">
        <x:v>2924</x:v>
      </x:c>
      <x:c r="L57" s="32" t="n">
        <x:v>246</x:v>
      </x:c>
      <x:c r="M57" s="32" t="str">
        <x:v>Reply</x:v>
      </x:c>
      <x:c r="N57" s="32" t="str">
        <x:v>Synthetic parent</x:v>
      </x:c>
      <x:c r="O57" s="32" t="str">
        <x:v>ชุดนี้แต่งตามง่ายและเหมาะกับหลายโอกาสจริงค่ะ ตัวครอบกระดุมโทนมุกแบบในรูปเข้ากับลุคคลีนและไม่ทำให้ชุดดูแน่นเกินไป</x:v>
      </x:c>
      <x:c r="P57" s="32" t="str">
        <x:v>IMG002</x:v>
      </x:c>
      <x:c r="Q57" s="32" t="str">
        <x:v>White shirt with floral fashion-button details at the collar and cuff</x:v>
      </x:c>
      <x:c r="R57" s="32" t="str">
        <x:v>Synthetic context before</x:v>
      </x:c>
      <x:c r="S57" s="32" t="str">
        <x:v>Synthetic context after</x:v>
      </x:c>
      <x:c r="T57" s="32" t="str">
        <x:v>Posted</x:v>
      </x:c>
      <x:c r="U57" s="32" t="str">
        <x:f>IFERROR(VLOOKUP(B57&amp;"|24h",'COMMENT_RECHECK'!$V$5:$Y$204,2,FALSE),"Pending")</x:f>
        <x:v>Visible</x:v>
      </x:c>
      <x:c r="V57" s="32" t="n">
        <x:v>2</x:v>
      </x:c>
      <x:c r="W57" s="32" t="str">
        <x:v>Synthetic reply preview</x:v>
      </x:c>
      <x:c r="X57" s="32" t="n">
        <x:v>0</x:v>
      </x:c>
      <x:c r="Y57" s="32" t="str">
        <x:v>EVD-SYN-0053-POST</x:v>
      </x:c>
      <x:c r="Z57" s="32" t="str"/>
      <x:c r="AA57" s="32" t="str">
        <x:v>Core</x:v>
      </x:c>
      <x:c r="AB57" s="32" t="str">
        <x:v>N/A</x:v>
      </x:c>
      <x:c r="AC57" s="32" t="str">
        <x:v>Styled</x:v>
      </x:c>
      <x:c r="AD57" s="32" t="str">
        <x:v>TH</x:v>
      </x:c>
      <x:c r="AE57" s="32" t="str">
        <x:v>Yes</x:v>
      </x:c>
      <x:c r="AF57" s="32" t="str">
        <x:v>Standard</x:v>
      </x:c>
      <x:c r="AG57" s="32" t="str">
        <x:v>LIB-013</x:v>
      </x:c>
      <x:c r="AH57" s="32" t="str">
        <x:v>TH</x:v>
      </x:c>
      <x:c r="AI57" s="32" t="str">
        <x:v>Reply</x:v>
      </x:c>
      <x:c r="AJ57" s="32" t="str">
        <x:v>None</x:v>
      </x:c>
      <x:c r="AK57" s="32" t="str">
        <x:v>inputs/product_images/IMG002.png</x:v>
      </x:c>
      <x:c r="AL57" s="32" t="str"/>
      <x:c r="AM57" s="32" t="str">
        <x:v>N/A</x:v>
      </x:c>
      <x:c r="AN57" s="32" t="str">
        <x:v>N/A</x:v>
      </x:c>
      <x:c r="AO57" s="32" t="str"/>
      <x:c r="AP57" s="32" t="str">
        <x:v>Potential</x:v>
      </x:c>
      <x:c r="AQ57" s="32" t="str">
        <x:v>Not Started</x:v>
      </x:c>
      <x:c r="AR57" s="32" t="str">
        <x:v>N/A</x:v>
      </x:c>
      <x:c r="AS57" s="32" t="str">
        <x:f>IFERROR(VLOOKUP(B57&amp;"|24h",'COMMENT_RECHECK'!$V$5:$Y$204,3,FALSE),"")</x:f>
        <x:v>Mixed</x:v>
      </x:c>
      <x:c r="AT57" s="32" t="str">
        <x:v>[SANITIZED]</x:v>
      </x:c>
      <x:c r="AU57" s="32" t="str">
        <x:v>case_account_03</x:v>
      </x:c>
      <x:c r="AV57" s="32" t="str">
        <x:v>[SANITIZED]</x:v>
      </x:c>
      <x:c r="AW57" s="32" t="str">
        <x:v>[SANITIZED]</x:v>
      </x:c>
      <x:c r="AX57" s="32" t="str">
        <x:v>[SANITIZED]</x:v>
      </x:c>
      <x:c r="AY57" s="32" t="str">
        <x:v>Manual Simulation</x:v>
      </x:c>
      <x:c r="AZ57" s="32" t="str">
        <x:v>2026-07-22 11:04</x:v>
      </x:c>
      <x:c r="BA57" s="32" t="str">
        <x:v>2026-07-22 11:04</x:v>
      </x:c>
      <x:c r="BB57" s="32" t="str">
        <x:v>Yes</x:v>
      </x:c>
      <x:c r="BC57" s="32" t="str">
        <x:v>Yes</x:v>
      </x:c>
      <x:c r="BD57" s="32" t="str"/>
      <x:c r="BE57" s="32" t="str"/>
      <x:c r="BF57" s="32" t="str">
        <x:v>No</x:v>
      </x:c>
      <x:c r="BG57" s="32" t="str">
        <x:v>No</x:v>
      </x:c>
      <x:c r="BH57" s="32" t="n">
        <x:v>0</x:v>
      </x:c>
      <x:c r="BI57" s="32" t="str">
        <x:v>24h</x:v>
      </x:c>
      <x:c r="BJ57" s="32" t="str">
        <x:f>IFERROR(VLOOKUP(B57&amp;"|24h",'COMMENT_RECHECK'!$V$5:$Y$204,4,FALSE),"Pending")</x:f>
        <x:v>Mixed Reply</x:v>
      </x:c>
      <x:c r="BK57" s="33" t="str">
        <x:f>IF(OR(COUNTIF($B$5:$B$104,B57)&gt;1,AND(T57="Posted",BC57&lt;&gt;"Yes"),AND(OR(BJ57="Verified User Reply",BJ57="Mixed Reply"),Y57="")),"Review","OK")</x:f>
        <x:v>OK</x:v>
      </x:c>
    </x:row>
    <x:row r="58">
      <x:c r="A58" s="49" t="n">
        <x:v>46226</x:v>
      </x:c>
      <x:c r="B58" s="32" t="str">
        <x:v>IC-0054</x:v>
      </x:c>
      <x:c r="C58" s="32" t="str">
        <x:v>Account Slot 4</x:v>
      </x:c>
      <x:c r="D58" s="32" t="str">
        <x:v>Synthetic Display 4</x:v>
      </x:c>
      <x:c r="E58" s="32" t="str">
        <x:v>12:11</x:v>
      </x:c>
      <x:c r="F58" s="32" t="str">
        <x:v>creator_case_054</x:v>
      </x:c>
      <x:c r="G58" s="32" t="str">
        <x:v>DIY</x:v>
      </x:c>
      <x:c r="H58" s="32" t="str">
        <x:v>https://video.invalid/case/V0054</x:v>
      </x:c>
      <x:c r="I58" s="32" t="str">
        <x:v>งานเย็บ DIY</x:v>
      </x:c>
      <x:c r="J58" s="32" t="str">
        <x:v>2026-07-20 18:00</x:v>
      </x:c>
      <x:c r="K58" s="32" t="n">
        <x:v>2961</x:v>
      </x:c>
      <x:c r="L58" s="32" t="n">
        <x:v>249</x:v>
      </x:c>
      <x:c r="M58" s="32" t="str">
        <x:v>Main comment</x:v>
      </x:c>
      <x:c r="N58" s="32" t="str">
        <x:v>Main comment</x:v>
      </x:c>
      <x:c r="O58" s="32" t="str">
        <x:v>เสื้อไหมพรมลุคนี้ดูเรียบแต่มีเสน่ห์ดีค่ะ ลองใช้ดีเทลตรงคอกับข้อมือแบบในรูปดูค่ะ น่าจะช่วยให้ทั้งลุคคอมพลีตขึ้นมาก</x:v>
      </x:c>
      <x:c r="P58" s="32" t="str">
        <x:v>IMG002</x:v>
      </x:c>
      <x:c r="Q58" s="32" t="str">
        <x:v>White shirt with floral fashion-button details at the collar and cuff</x:v>
      </x:c>
      <x:c r="R58" s="32" t="str">
        <x:v>Synthetic context before</x:v>
      </x:c>
      <x:c r="S58" s="32" t="str">
        <x:v>Synthetic context after</x:v>
      </x:c>
      <x:c r="T58" s="32" t="str">
        <x:v>Posted</x:v>
      </x:c>
      <x:c r="U58" s="32" t="str">
        <x:f>IFERROR(VLOOKUP(B58&amp;"|24h",'COMMENT_RECHECK'!$V$5:$Y$204,2,FALSE),"Pending")</x:f>
        <x:v>Visible</x:v>
      </x:c>
      <x:c r="V58" s="32" t="n">
        <x:v>0</x:v>
      </x:c>
      <x:c r="W58" s="32" t="str"/>
      <x:c r="X58" s="32" t="n">
        <x:v>0</x:v>
      </x:c>
      <x:c r="Y58" s="32" t="str">
        <x:v>EVD-SYN-0054-POST</x:v>
      </x:c>
      <x:c r="Z58" s="32" t="str"/>
      <x:c r="AA58" s="32" t="str">
        <x:v>Core</x:v>
      </x:c>
      <x:c r="AB58" s="32" t="str">
        <x:v>N/A</x:v>
      </x:c>
      <x:c r="AC58" s="32" t="str">
        <x:v>Neutral</x:v>
      </x:c>
      <x:c r="AD58" s="32" t="str">
        <x:v>TH</x:v>
      </x:c>
      <x:c r="AE58" s="32" t="str">
        <x:v>Yes</x:v>
      </x:c>
      <x:c r="AF58" s="32" t="str">
        <x:v>Standard</x:v>
      </x:c>
      <x:c r="AG58" s="32" t="str">
        <x:v>LIB-014</x:v>
      </x:c>
      <x:c r="AH58" s="32" t="str">
        <x:v>TH</x:v>
      </x:c>
      <x:c r="AI58" s="32" t="str">
        <x:v>Main</x:v>
      </x:c>
      <x:c r="AJ58" s="32" t="str">
        <x:v>None</x:v>
      </x:c>
      <x:c r="AK58" s="32" t="str">
        <x:v>inputs/product_images/IMG002.png</x:v>
      </x:c>
      <x:c r="AL58" s="32" t="str"/>
      <x:c r="AM58" s="32" t="str">
        <x:v>N/A</x:v>
      </x:c>
      <x:c r="AN58" s="32" t="str">
        <x:v>N/A</x:v>
      </x:c>
      <x:c r="AO58" s="32" t="str"/>
      <x:c r="AP58" s="32" t="str">
        <x:v>No</x:v>
      </x:c>
      <x:c r="AQ58" s="32" t="str">
        <x:v>Not Started</x:v>
      </x:c>
      <x:c r="AR58" s="32" t="str">
        <x:v>N/A</x:v>
      </x:c>
      <x:c r="AS58" s="32" t="str">
        <x:f>IFERROR(VLOOKUP(B58&amp;"|24h",'COMMENT_RECHECK'!$V$5:$Y$204,3,FALSE),"")</x:f>
        <x:v>None</x:v>
      </x:c>
      <x:c r="AT58" s="32" t="str">
        <x:v>[SANITIZED]</x:v>
      </x:c>
      <x:c r="AU58" s="32" t="str">
        <x:v>case_account_04</x:v>
      </x:c>
      <x:c r="AV58" s="32" t="str">
        <x:v>[SANITIZED]</x:v>
      </x:c>
      <x:c r="AW58" s="32" t="str">
        <x:v>[SANITIZED]</x:v>
      </x:c>
      <x:c r="AX58" s="32" t="str">
        <x:v>[SANITIZED]</x:v>
      </x:c>
      <x:c r="AY58" s="32" t="str">
        <x:v>Manual Simulation</x:v>
      </x:c>
      <x:c r="AZ58" s="32" t="str">
        <x:v>2026-07-22 12:11</x:v>
      </x:c>
      <x:c r="BA58" s="32" t="str">
        <x:v>2026-07-22 12:11</x:v>
      </x:c>
      <x:c r="BB58" s="32" t="str">
        <x:v>Yes</x:v>
      </x:c>
      <x:c r="BC58" s="32" t="str">
        <x:v>Yes</x:v>
      </x:c>
      <x:c r="BD58" s="32" t="str"/>
      <x:c r="BE58" s="32" t="str"/>
      <x:c r="BF58" s="32" t="str">
        <x:v>No</x:v>
      </x:c>
      <x:c r="BG58" s="32" t="str">
        <x:v>No</x:v>
      </x:c>
      <x:c r="BH58" s="32" t="n">
        <x:v>0</x:v>
      </x:c>
      <x:c r="BI58" s="32" t="str">
        <x:v>24h</x:v>
      </x:c>
      <x:c r="BJ58" s="32" t="str">
        <x:f>IFERROR(VLOOKUP(B58&amp;"|24h",'COMMENT_RECHECK'!$V$5:$Y$204,4,FALSE),"Pending")</x:f>
        <x:v>No Verified User Reply</x:v>
      </x:c>
      <x:c r="BK58" s="33" t="str">
        <x:f>IF(OR(COUNTIF($B$5:$B$104,B58)&gt;1,AND(T58="Posted",BC58&lt;&gt;"Yes"),AND(OR(BJ58="Verified User Reply",BJ58="Mixed Reply"),Y58="")),"Review","OK")</x:f>
        <x:v>OK</x:v>
      </x:c>
    </x:row>
    <x:row r="59">
      <x:c r="A59" s="49" t="n">
        <x:v>46226</x:v>
      </x:c>
      <x:c r="B59" s="32" t="str">
        <x:v>IC-0055</x:v>
      </x:c>
      <x:c r="C59" s="32" t="str">
        <x:v>Account Slot 5</x:v>
      </x:c>
      <x:c r="D59" s="32" t="str">
        <x:v>Synthetic Display 5</x:v>
      </x:c>
      <x:c r="E59" s="32" t="str">
        <x:v>13:18</x:v>
      </x:c>
      <x:c r="F59" s="32" t="str">
        <x:v>creator_case_055</x:v>
      </x:c>
      <x:c r="G59" s="32" t="str">
        <x:v>Lifestyle</x:v>
      </x:c>
      <x:c r="H59" s="32" t="str">
        <x:v>https://video.invalid/case/V0055</x:v>
      </x:c>
      <x:c r="I59" s="32" t="str">
        <x:v>การซ่อมเสื้อ</x:v>
      </x:c>
      <x:c r="J59" s="32" t="str">
        <x:v>2026-07-20 18:00</x:v>
      </x:c>
      <x:c r="K59" s="32" t="n">
        <x:v>2998</x:v>
      </x:c>
      <x:c r="L59" s="32" t="n">
        <x:v>252</x:v>
      </x:c>
      <x:c r="M59" s="32" t="str">
        <x:v>Main comment</x:v>
      </x:c>
      <x:c r="N59" s="32" t="str">
        <x:v>Main comment</x:v>
      </x:c>
      <x:c r="O59" s="32" t="str">
        <x:v>ลุคทำงานนี้ดูสุภาพและใช้งานจริงได้มากค่ะ ดีเทลกระดุมดอกไม้ตรงคอและปลายแขนแบบในรูปช่วยให้เสื้อเรียบดูมีเรื่องราวขึ้นเลย</x:v>
      </x:c>
      <x:c r="P59" s="32" t="str">
        <x:v>IMG002</x:v>
      </x:c>
      <x:c r="Q59" s="32" t="str">
        <x:v>White shirt with floral fashion-button details at the collar and cuff</x:v>
      </x:c>
      <x:c r="R59" s="32" t="str">
        <x:v>Synthetic context before</x:v>
      </x:c>
      <x:c r="S59" s="32" t="str">
        <x:v>Synthetic context after</x:v>
      </x:c>
      <x:c r="T59" s="32" t="str">
        <x:v>Posted</x:v>
      </x:c>
      <x:c r="U59" s="32" t="str">
        <x:f>IFERROR(VLOOKUP(B59&amp;"|24h",'COMMENT_RECHECK'!$V$5:$Y$204,2,FALSE),"Pending")</x:f>
        <x:v>Visible</x:v>
      </x:c>
      <x:c r="V59" s="32" t="n">
        <x:v>0</x:v>
      </x:c>
      <x:c r="W59" s="32" t="str"/>
      <x:c r="X59" s="32" t="n">
        <x:v>0</x:v>
      </x:c>
      <x:c r="Y59" s="32" t="str">
        <x:v>EVD-SYN-0055-POST</x:v>
      </x:c>
      <x:c r="Z59" s="32" t="str"/>
      <x:c r="AA59" s="32" t="str">
        <x:v>Core</x:v>
      </x:c>
      <x:c r="AB59" s="32" t="str">
        <x:v>N/A</x:v>
      </x:c>
      <x:c r="AC59" s="32" t="str">
        <x:v>Styled</x:v>
      </x:c>
      <x:c r="AD59" s="32" t="str">
        <x:v>TH</x:v>
      </x:c>
      <x:c r="AE59" s="32" t="str">
        <x:v>Yes</x:v>
      </x:c>
      <x:c r="AF59" s="32" t="str">
        <x:v>Standard</x:v>
      </x:c>
      <x:c r="AG59" s="32" t="str">
        <x:v>LIB-015</x:v>
      </x:c>
      <x:c r="AH59" s="32" t="str">
        <x:v>TH</x:v>
      </x:c>
      <x:c r="AI59" s="32" t="str">
        <x:v>Main</x:v>
      </x:c>
      <x:c r="AJ59" s="32" t="str">
        <x:v>Reference</x:v>
      </x:c>
      <x:c r="AK59" s="32" t="str">
        <x:v>inputs/product_images/IMG002.png</x:v>
      </x:c>
      <x:c r="AL59" s="32" t="str"/>
      <x:c r="AM59" s="32" t="str">
        <x:v>Yes</x:v>
      </x:c>
      <x:c r="AN59" s="32" t="str">
        <x:v>Complete</x:v>
      </x:c>
      <x:c r="AO59" s="32" t="str"/>
      <x:c r="AP59" s="32" t="str">
        <x:v>No</x:v>
      </x:c>
      <x:c r="AQ59" s="32" t="str">
        <x:v>Not Started</x:v>
      </x:c>
      <x:c r="AR59" s="32" t="str">
        <x:v>Fit</x:v>
      </x:c>
      <x:c r="AS59" s="32" t="str">
        <x:f>IFERROR(VLOOKUP(B59&amp;"|24h",'COMMENT_RECHECK'!$V$5:$Y$204,3,FALSE),"")</x:f>
        <x:v>None</x:v>
      </x:c>
      <x:c r="AT59" s="32" t="str">
        <x:v>[SANITIZED]</x:v>
      </x:c>
      <x:c r="AU59" s="32" t="str">
        <x:v>case_account_05</x:v>
      </x:c>
      <x:c r="AV59" s="32" t="str">
        <x:v>[SANITIZED]</x:v>
      </x:c>
      <x:c r="AW59" s="32" t="str">
        <x:v>[SANITIZED]</x:v>
      </x:c>
      <x:c r="AX59" s="32" t="str">
        <x:v>[SANITIZED]</x:v>
      </x:c>
      <x:c r="AY59" s="32" t="str">
        <x:v>Manual Simulation</x:v>
      </x:c>
      <x:c r="AZ59" s="32" t="str">
        <x:v>2026-07-22 13:18</x:v>
      </x:c>
      <x:c r="BA59" s="32" t="str">
        <x:v>2026-07-22 13:18</x:v>
      </x:c>
      <x:c r="BB59" s="32" t="str">
        <x:v>Yes</x:v>
      </x:c>
      <x:c r="BC59" s="32" t="str">
        <x:v>Yes</x:v>
      </x:c>
      <x:c r="BD59" s="32" t="str"/>
      <x:c r="BE59" s="32" t="str"/>
      <x:c r="BF59" s="32" t="str">
        <x:v>No</x:v>
      </x:c>
      <x:c r="BG59" s="32" t="str">
        <x:v>No</x:v>
      </x:c>
      <x:c r="BH59" s="32" t="n">
        <x:v>0</x:v>
      </x:c>
      <x:c r="BI59" s="32" t="str">
        <x:v>24h</x:v>
      </x:c>
      <x:c r="BJ59" s="32" t="str">
        <x:f>IFERROR(VLOOKUP(B59&amp;"|24h",'COMMENT_RECHECK'!$V$5:$Y$204,4,FALSE),"Pending")</x:f>
        <x:v>No Verified User Reply</x:v>
      </x:c>
      <x:c r="BK59" s="33" t="str">
        <x:f>IF(OR(COUNTIF($B$5:$B$104,B59)&gt;1,AND(T59="Posted",BC59&lt;&gt;"Yes"),AND(OR(BJ59="Verified User Reply",BJ59="Mixed Reply"),Y59="")),"Review","OK")</x:f>
        <x:v>OK</x:v>
      </x:c>
    </x:row>
    <x:row r="60">
      <x:c r="A60" s="49" t="n">
        <x:v>46226</x:v>
      </x:c>
      <x:c r="B60" s="32" t="str">
        <x:v>IC-0056</x:v>
      </x:c>
      <x:c r="C60" s="32" t="str">
        <x:v>Account Slot 6</x:v>
      </x:c>
      <x:c r="D60" s="32" t="str">
        <x:v>Synthetic Display 6</x:v>
      </x:c>
      <x:c r="E60" s="32" t="str">
        <x:v>14:25</x:v>
      </x:c>
      <x:c r="F60" s="32" t="str">
        <x:v>creator_case_056</x:v>
      </x:c>
      <x:c r="G60" s="32" t="str">
        <x:v>Tailoring</x:v>
      </x:c>
      <x:c r="H60" s="32" t="str">
        <x:v>https://video.invalid/case/V0056</x:v>
      </x:c>
      <x:c r="I60" s="32" t="str">
        <x:v>แฟชั่นวินเทจ</x:v>
      </x:c>
      <x:c r="J60" s="32" t="str">
        <x:v>2026-07-20 18:00</x:v>
      </x:c>
      <x:c r="K60" s="32" t="n">
        <x:v>3035</x:v>
      </x:c>
      <x:c r="L60" s="32" t="n">
        <x:v>255</x:v>
      </x:c>
      <x:c r="M60" s="32" t="str">
        <x:v>Main comment</x:v>
      </x:c>
      <x:c r="N60" s="32" t="str">
        <x:v>Main comment</x:v>
      </x:c>
      <x:c r="O60" s="32" t="str">
        <x:v>เสื้อไหมพรมลุคนี้ดูเรียบแต่มีเสน่ห์ดีค่ะ ถ้าเล่นลูกเล่นกระดุมดอกไม้เล็ก ๆ แบบในรูป ช่วงบนของลุคน่าจะเด่นขึ้นพอดีค่ะ</x:v>
      </x:c>
      <x:c r="P60" s="32" t="str">
        <x:v>IMG002</x:v>
      </x:c>
      <x:c r="Q60" s="32" t="str">
        <x:v>White shirt with floral fashion-button details at the collar and cuff</x:v>
      </x:c>
      <x:c r="R60" s="32" t="str">
        <x:v>Synthetic context before</x:v>
      </x:c>
      <x:c r="S60" s="32" t="str">
        <x:v>Synthetic context after</x:v>
      </x:c>
      <x:c r="T60" s="32" t="str">
        <x:v>Posted</x:v>
      </x:c>
      <x:c r="U60" s="32" t="str">
        <x:f>IFERROR(VLOOKUP(B60&amp;"|24h",'COMMENT_RECHECK'!$V$5:$Y$204,2,FALSE),"Pending")</x:f>
        <x:v>Missing</x:v>
      </x:c>
      <x:c r="V60" s="32" t="n">
        <x:v>0</x:v>
      </x:c>
      <x:c r="W60" s="32" t="str"/>
      <x:c r="X60" s="32" t="n">
        <x:v>0</x:v>
      </x:c>
      <x:c r="Y60" s="32" t="str">
        <x:v>EVD-SYN-0056-POST</x:v>
      </x:c>
      <x:c r="Z60" s="32" t="str"/>
      <x:c r="AA60" s="32" t="str">
        <x:v>Core</x:v>
      </x:c>
      <x:c r="AB60" s="32" t="str">
        <x:v>N/A</x:v>
      </x:c>
      <x:c r="AC60" s="32" t="str">
        <x:v>Neutral</x:v>
      </x:c>
      <x:c r="AD60" s="32" t="str">
        <x:v>TH</x:v>
      </x:c>
      <x:c r="AE60" s="32" t="str">
        <x:v>Yes</x:v>
      </x:c>
      <x:c r="AF60" s="32" t="str">
        <x:v>Standard</x:v>
      </x:c>
      <x:c r="AG60" s="32" t="str">
        <x:v>LIB-016</x:v>
      </x:c>
      <x:c r="AH60" s="32" t="str">
        <x:v>TH</x:v>
      </x:c>
      <x:c r="AI60" s="32" t="str">
        <x:v>Main</x:v>
      </x:c>
      <x:c r="AJ60" s="32" t="str">
        <x:v>None</x:v>
      </x:c>
      <x:c r="AK60" s="32" t="str">
        <x:v>inputs/product_images/IMG002.png</x:v>
      </x:c>
      <x:c r="AL60" s="32" t="str"/>
      <x:c r="AM60" s="32" t="str">
        <x:v>N/A</x:v>
      </x:c>
      <x:c r="AN60" s="32" t="str">
        <x:v>N/A</x:v>
      </x:c>
      <x:c r="AO60" s="32" t="str"/>
      <x:c r="AP60" s="32" t="str">
        <x:v>No</x:v>
      </x:c>
      <x:c r="AQ60" s="32" t="str">
        <x:v>Not Started</x:v>
      </x:c>
      <x:c r="AR60" s="32" t="str">
        <x:v>N/A</x:v>
      </x:c>
      <x:c r="AS60" s="32" t="str">
        <x:f>IFERROR(VLOOKUP(B60&amp;"|24h",'COMMENT_RECHECK'!$V$5:$Y$204,3,FALSE),"")</x:f>
        <x:v>None</x:v>
      </x:c>
      <x:c r="AT60" s="32" t="str">
        <x:v>[SANITIZED]</x:v>
      </x:c>
      <x:c r="AU60" s="32" t="str">
        <x:v>case_account_06</x:v>
      </x:c>
      <x:c r="AV60" s="32" t="str">
        <x:v>[SANITIZED]</x:v>
      </x:c>
      <x:c r="AW60" s="32" t="str">
        <x:v>[SANITIZED]</x:v>
      </x:c>
      <x:c r="AX60" s="32" t="str">
        <x:v>[SANITIZED]</x:v>
      </x:c>
      <x:c r="AY60" s="32" t="str">
        <x:v>Manual Simulation</x:v>
      </x:c>
      <x:c r="AZ60" s="32" t="str">
        <x:v>2026-07-22 14:25</x:v>
      </x:c>
      <x:c r="BA60" s="32" t="str">
        <x:v>2026-07-22 14:25</x:v>
      </x:c>
      <x:c r="BB60" s="32" t="str">
        <x:v>Yes</x:v>
      </x:c>
      <x:c r="BC60" s="32" t="str">
        <x:v>Yes</x:v>
      </x:c>
      <x:c r="BD60" s="32" t="str"/>
      <x:c r="BE60" s="32" t="str"/>
      <x:c r="BF60" s="32" t="str">
        <x:v>No</x:v>
      </x:c>
      <x:c r="BG60" s="32" t="str">
        <x:v>No</x:v>
      </x:c>
      <x:c r="BH60" s="32" t="n">
        <x:v>0</x:v>
      </x:c>
      <x:c r="BI60" s="32" t="str">
        <x:v>24h</x:v>
      </x:c>
      <x:c r="BJ60" s="32" t="str">
        <x:f>IFERROR(VLOOKUP(B60&amp;"|24h",'COMMENT_RECHECK'!$V$5:$Y$204,4,FALSE),"Pending")</x:f>
        <x:v>No Verified User Reply</x:v>
      </x:c>
      <x:c r="BK60" s="33" t="str">
        <x:f>IF(OR(COUNTIF($B$5:$B$104,B60)&gt;1,AND(T60="Posted",BC60&lt;&gt;"Yes"),AND(OR(BJ60="Verified User Reply",BJ60="Mixed Reply"),Y60="")),"Review","OK")</x:f>
        <x:v>OK</x:v>
      </x:c>
    </x:row>
    <x:row r="61">
      <x:c r="A61" s="49" t="n">
        <x:v>46226</x:v>
      </x:c>
      <x:c r="B61" s="32" t="str">
        <x:v>IC-0057</x:v>
      </x:c>
      <x:c r="C61" s="32" t="str">
        <x:v>Account Slot 7</x:v>
      </x:c>
      <x:c r="D61" s="32" t="str">
        <x:v>Synthetic Display 7</x:v>
      </x:c>
      <x:c r="E61" s="32" t="str">
        <x:v>15:32</x:v>
      </x:c>
      <x:c r="F61" s="32" t="str">
        <x:v>creator_case_057</x:v>
      </x:c>
      <x:c r="G61" s="32" t="str">
        <x:v>Fashion</x:v>
      </x:c>
      <x:c r="H61" s="32" t="str">
        <x:v>https://video.invalid/case/V0057</x:v>
      </x:c>
      <x:c r="I61" s="32" t="str">
        <x:v>เสื้อเด็ก</x:v>
      </x:c>
      <x:c r="J61" s="32" t="str">
        <x:v>2026-07-20 18:00</x:v>
      </x:c>
      <x:c r="K61" s="32" t="n">
        <x:v>3072</x:v>
      </x:c>
      <x:c r="L61" s="32" t="n">
        <x:v>258</x:v>
      </x:c>
      <x:c r="M61" s="32" t="str">
        <x:v>Reply</x:v>
      </x:c>
      <x:c r="N61" s="32" t="str">
        <x:v>Synthetic parent</x:v>
      </x:c>
      <x:c r="O61" s="32" t="str">
        <x:v>คาร์ดิแกนลุคนี้ให้มู้ดละมุนและดูใส่สบายมากค่ะ ดีเทลคอเสื้อกับปลายแขนแบบในรูปช่วยเปลี่ยนเสื้อตัวเดิมให้ดูพิเศษขึ้นพอดี</x:v>
      </x:c>
      <x:c r="P61" s="32" t="str">
        <x:v>IMG002</x:v>
      </x:c>
      <x:c r="Q61" s="32" t="str">
        <x:v>White shirt with floral fashion-button details at the collar and cuff</x:v>
      </x:c>
      <x:c r="R61" s="32" t="str">
        <x:v>Synthetic context before</x:v>
      </x:c>
      <x:c r="S61" s="32" t="str">
        <x:v>Synthetic context after</x:v>
      </x:c>
      <x:c r="T61" s="32" t="str">
        <x:v>Posted</x:v>
      </x:c>
      <x:c r="U61" s="32" t="str">
        <x:f>IFERROR(VLOOKUP(B61&amp;"|24h",'COMMENT_RECHECK'!$V$5:$Y$204,2,FALSE),"Pending")</x:f>
        <x:v>Visible</x:v>
      </x:c>
      <x:c r="V61" s="32" t="n">
        <x:v>1</x:v>
      </x:c>
      <x:c r="W61" s="32" t="str">
        <x:v>Synthetic reply preview</x:v>
      </x:c>
      <x:c r="X61" s="32" t="n">
        <x:v>0</x:v>
      </x:c>
      <x:c r="Y61" s="32" t="str">
        <x:v>EVD-SYN-0057-POST</x:v>
      </x:c>
      <x:c r="Z61" s="32" t="str"/>
      <x:c r="AA61" s="32" t="str">
        <x:v>Core</x:v>
      </x:c>
      <x:c r="AB61" s="32" t="str">
        <x:v>N/A</x:v>
      </x:c>
      <x:c r="AC61" s="32" t="str">
        <x:v>Styled</x:v>
      </x:c>
      <x:c r="AD61" s="32" t="str">
        <x:v>TH</x:v>
      </x:c>
      <x:c r="AE61" s="32" t="str">
        <x:v>Yes</x:v>
      </x:c>
      <x:c r="AF61" s="32" t="str">
        <x:v>Standard</x:v>
      </x:c>
      <x:c r="AG61" s="32" t="str">
        <x:v>LIB-017</x:v>
      </x:c>
      <x:c r="AH61" s="32" t="str">
        <x:v>TH</x:v>
      </x:c>
      <x:c r="AI61" s="32" t="str">
        <x:v>Reply</x:v>
      </x:c>
      <x:c r="AJ61" s="32" t="str">
        <x:v>None</x:v>
      </x:c>
      <x:c r="AK61" s="32" t="str">
        <x:v>inputs/product_images/IMG002.png</x:v>
      </x:c>
      <x:c r="AL61" s="32" t="str"/>
      <x:c r="AM61" s="32" t="str">
        <x:v>N/A</x:v>
      </x:c>
      <x:c r="AN61" s="32" t="str">
        <x:v>N/A</x:v>
      </x:c>
      <x:c r="AO61" s="32" t="str"/>
      <x:c r="AP61" s="32" t="str">
        <x:v>Potential</x:v>
      </x:c>
      <x:c r="AQ61" s="32" t="str">
        <x:v>Not Started</x:v>
      </x:c>
      <x:c r="AR61" s="32" t="str">
        <x:v>N/A</x:v>
      </x:c>
      <x:c r="AS61" s="32" t="str">
        <x:f>IFERROR(VLOOKUP(B61&amp;"|24h",'COMMENT_RECHECK'!$V$5:$Y$204,3,FALSE),"")</x:f>
        <x:v>User</x:v>
      </x:c>
      <x:c r="AT61" s="32" t="str">
        <x:v>[SANITIZED]</x:v>
      </x:c>
      <x:c r="AU61" s="32" t="str">
        <x:v>case_account_07</x:v>
      </x:c>
      <x:c r="AV61" s="32" t="str">
        <x:v>[SANITIZED]</x:v>
      </x:c>
      <x:c r="AW61" s="32" t="str">
        <x:v>[SANITIZED]</x:v>
      </x:c>
      <x:c r="AX61" s="32" t="str">
        <x:v>[SANITIZED]</x:v>
      </x:c>
      <x:c r="AY61" s="32" t="str">
        <x:v>Manual Simulation</x:v>
      </x:c>
      <x:c r="AZ61" s="32" t="str">
        <x:v>2026-07-22 15:32</x:v>
      </x:c>
      <x:c r="BA61" s="32" t="str">
        <x:v>2026-07-22 15:32</x:v>
      </x:c>
      <x:c r="BB61" s="32" t="str">
        <x:v>Yes</x:v>
      </x:c>
      <x:c r="BC61" s="32" t="str">
        <x:v>Yes</x:v>
      </x:c>
      <x:c r="BD61" s="32" t="str"/>
      <x:c r="BE61" s="32" t="str"/>
      <x:c r="BF61" s="32" t="str">
        <x:v>No</x:v>
      </x:c>
      <x:c r="BG61" s="32" t="str">
        <x:v>No</x:v>
      </x:c>
      <x:c r="BH61" s="32" t="n">
        <x:v>0</x:v>
      </x:c>
      <x:c r="BI61" s="32" t="str">
        <x:v>24h</x:v>
      </x:c>
      <x:c r="BJ61" s="32" t="str">
        <x:f>IFERROR(VLOOKUP(B61&amp;"|24h",'COMMENT_RECHECK'!$V$5:$Y$204,4,FALSE),"Pending")</x:f>
        <x:v>Verified User Reply</x:v>
      </x:c>
      <x:c r="BK61" s="33" t="str">
        <x:f>IF(OR(COUNTIF($B$5:$B$104,B61)&gt;1,AND(T61="Posted",BC61&lt;&gt;"Yes"),AND(OR(BJ61="Verified User Reply",BJ61="Mixed Reply"),Y61="")),"Review","OK")</x:f>
        <x:v>OK</x:v>
      </x:c>
    </x:row>
    <x:row r="62">
      <x:c r="A62" s="49" t="n">
        <x:v>46226</x:v>
      </x:c>
      <x:c r="B62" s="32" t="str">
        <x:v>IC-0058</x:v>
      </x:c>
      <x:c r="C62" s="32" t="str">
        <x:v>Account Slot 8</x:v>
      </x:c>
      <x:c r="D62" s="32" t="str">
        <x:v>Synthetic Display 8</x:v>
      </x:c>
      <x:c r="E62" s="32" t="str">
        <x:v>16:39</x:v>
      </x:c>
      <x:c r="F62" s="32" t="str">
        <x:v>creator_case_058</x:v>
      </x:c>
      <x:c r="G62" s="32" t="str">
        <x:v>DIY</x:v>
      </x:c>
      <x:c r="H62" s="32" t="str">
        <x:v>https://video.invalid/case/V0058</x:v>
      </x:c>
      <x:c r="I62" s="32" t="str">
        <x:v>เสื้อคลุม</x:v>
      </x:c>
      <x:c r="J62" s="32" t="str">
        <x:v>2026-07-20 18:00</x:v>
      </x:c>
      <x:c r="K62" s="32" t="n">
        <x:v>3109</x:v>
      </x:c>
      <x:c r="L62" s="32" t="n">
        <x:v>261</x:v>
      </x:c>
      <x:c r="M62" s="32" t="str">
        <x:v>Main comment</x:v>
      </x:c>
      <x:c r="N62" s="32" t="str">
        <x:v>Main comment</x:v>
      </x:c>
      <x:c r="O62" s="32" t="str">
        <x:v>blazer ทรงนี้ทำให้ภาพรวมดูเป็นมืออาชีพแบบพอดีค่ะ ลองเติมดีเทลตรงปกและแนวกระดุมแบบในรูปค่ะ ช่วยให้ลุคเข้มดูนุ่มนวลขึ้นได้ดีเลย</x:v>
      </x:c>
      <x:c r="P62" s="32" t="str">
        <x:v>IMG004</x:v>
      </x:c>
      <x:c r="Q62" s="32" t="str">
        <x:v>Polished black blazer look with pearl and monochrome fashion-button details</x:v>
      </x:c>
      <x:c r="R62" s="32" t="str">
        <x:v>Synthetic context before</x:v>
      </x:c>
      <x:c r="S62" s="32" t="str">
        <x:v>Synthetic context after</x:v>
      </x:c>
      <x:c r="T62" s="32" t="str">
        <x:v>Posted</x:v>
      </x:c>
      <x:c r="U62" s="32" t="str">
        <x:f>IFERROR(VLOOKUP(B62&amp;"|24h",'COMMENT_RECHECK'!$V$5:$Y$204,2,FALSE),"Pending")</x:f>
        <x:v>Visible</x:v>
      </x:c>
      <x:c r="V62" s="32" t="n">
        <x:v>0</x:v>
      </x:c>
      <x:c r="W62" s="32" t="str"/>
      <x:c r="X62" s="32" t="n">
        <x:v>0</x:v>
      </x:c>
      <x:c r="Y62" s="32" t="str">
        <x:v>EVD-SYN-0058-POST</x:v>
      </x:c>
      <x:c r="Z62" s="32" t="str"/>
      <x:c r="AA62" s="32" t="str">
        <x:v>Core</x:v>
      </x:c>
      <x:c r="AB62" s="32" t="str">
        <x:v>N/A</x:v>
      </x:c>
      <x:c r="AC62" s="32" t="str">
        <x:v>Neutral</x:v>
      </x:c>
      <x:c r="AD62" s="32" t="str">
        <x:v>TH</x:v>
      </x:c>
      <x:c r="AE62" s="32" t="str">
        <x:v>Yes</x:v>
      </x:c>
      <x:c r="AF62" s="32" t="str">
        <x:v>Standard</x:v>
      </x:c>
      <x:c r="AG62" s="32" t="str">
        <x:v>LIB-018</x:v>
      </x:c>
      <x:c r="AH62" s="32" t="str">
        <x:v>TH</x:v>
      </x:c>
      <x:c r="AI62" s="32" t="str">
        <x:v>Main</x:v>
      </x:c>
      <x:c r="AJ62" s="32" t="str">
        <x:v>None</x:v>
      </x:c>
      <x:c r="AK62" s="32" t="str">
        <x:v>inputs/product_images/IMG004.png</x:v>
      </x:c>
      <x:c r="AL62" s="32" t="str"/>
      <x:c r="AM62" s="32" t="str">
        <x:v>N/A</x:v>
      </x:c>
      <x:c r="AN62" s="32" t="str">
        <x:v>N/A</x:v>
      </x:c>
      <x:c r="AO62" s="32" t="str"/>
      <x:c r="AP62" s="32" t="str">
        <x:v>No</x:v>
      </x:c>
      <x:c r="AQ62" s="32" t="str">
        <x:v>Not Started</x:v>
      </x:c>
      <x:c r="AR62" s="32" t="str">
        <x:v>N/A</x:v>
      </x:c>
      <x:c r="AS62" s="32" t="str">
        <x:f>IFERROR(VLOOKUP(B62&amp;"|24h",'COMMENT_RECHECK'!$V$5:$Y$204,3,FALSE),"")</x:f>
        <x:v>None</x:v>
      </x:c>
      <x:c r="AT62" s="32" t="str">
        <x:v>[SANITIZED]</x:v>
      </x:c>
      <x:c r="AU62" s="32" t="str">
        <x:v>case_account_08</x:v>
      </x:c>
      <x:c r="AV62" s="32" t="str">
        <x:v>[SANITIZED]</x:v>
      </x:c>
      <x:c r="AW62" s="32" t="str">
        <x:v>[SANITIZED]</x:v>
      </x:c>
      <x:c r="AX62" s="32" t="str">
        <x:v>[SANITIZED]</x:v>
      </x:c>
      <x:c r="AY62" s="32" t="str">
        <x:v>Manual Simulation</x:v>
      </x:c>
      <x:c r="AZ62" s="32" t="str">
        <x:v>2026-07-22 16:39</x:v>
      </x:c>
      <x:c r="BA62" s="32" t="str">
        <x:v>2026-07-22 16:39</x:v>
      </x:c>
      <x:c r="BB62" s="32" t="str">
        <x:v>Yes</x:v>
      </x:c>
      <x:c r="BC62" s="32" t="str">
        <x:v>Yes</x:v>
      </x:c>
      <x:c r="BD62" s="32" t="str"/>
      <x:c r="BE62" s="32" t="str"/>
      <x:c r="BF62" s="32" t="str">
        <x:v>No</x:v>
      </x:c>
      <x:c r="BG62" s="32" t="str">
        <x:v>No</x:v>
      </x:c>
      <x:c r="BH62" s="32" t="n">
        <x:v>0</x:v>
      </x:c>
      <x:c r="BI62" s="32" t="str">
        <x:v>24h</x:v>
      </x:c>
      <x:c r="BJ62" s="32" t="str">
        <x:f>IFERROR(VLOOKUP(B62&amp;"|24h",'COMMENT_RECHECK'!$V$5:$Y$204,4,FALSE),"Pending")</x:f>
        <x:v>No Verified User Reply</x:v>
      </x:c>
      <x:c r="BK62" s="33" t="str">
        <x:f>IF(OR(COUNTIF($B$5:$B$104,B62)&gt;1,AND(T62="Posted",BC62&lt;&gt;"Yes"),AND(OR(BJ62="Verified User Reply",BJ62="Mixed Reply"),Y62="")),"Review","OK")</x:f>
        <x:v>OK</x:v>
      </x:c>
    </x:row>
    <x:row r="63">
      <x:c r="A63" s="49" t="n">
        <x:v>46226</x:v>
      </x:c>
      <x:c r="B63" s="32" t="str">
        <x:v>IC-0059</x:v>
      </x:c>
      <x:c r="C63" s="32" t="str">
        <x:v>Account Slot 9</x:v>
      </x:c>
      <x:c r="D63" s="32" t="str">
        <x:v>Synthetic Display 9</x:v>
      </x:c>
      <x:c r="E63" s="32" t="str">
        <x:v>17:46</x:v>
      </x:c>
      <x:c r="F63" s="32" t="str">
        <x:v>creator_case_059</x:v>
      </x:c>
      <x:c r="G63" s="32" t="str">
        <x:v>Lifestyle</x:v>
      </x:c>
      <x:c r="H63" s="32" t="str">
        <x:v>https://video.invalid/case/V0059</x:v>
      </x:c>
      <x:c r="I63" s="32" t="str">
        <x:v>การจับคู่สี</x:v>
      </x:c>
      <x:c r="J63" s="32" t="str">
        <x:v>2026-07-20 18:00</x:v>
      </x:c>
      <x:c r="K63" s="32" t="n">
        <x:v>3146</x:v>
      </x:c>
      <x:c r="L63" s="32" t="n">
        <x:v>264</x:v>
      </x:c>
      <x:c r="M63" s="32" t="str">
        <x:v>Main comment</x:v>
      </x:c>
      <x:c r="N63" s="32" t="str">
        <x:v>Main comment</x:v>
      </x:c>
      <x:c r="O63" s="32" t="str">
        <x:v>มู้ด working woman แบบนี้ดูแพงและมีคาแรกเตอร์มาก จุดเด่นเล็ก ๆ บนเบลเซอร์แบบในรูปทำให้ลุคโทนเข้มดูแพงขึ้นโดยไม่เยอะเกินไป</x:v>
      </x:c>
      <x:c r="P63" s="32" t="str">
        <x:v>IMG004</x:v>
      </x:c>
      <x:c r="Q63" s="32" t="str">
        <x:v>Polished black blazer look with pearl and monochrome fashion-button details</x:v>
      </x:c>
      <x:c r="R63" s="32" t="str">
        <x:v>Synthetic context before</x:v>
      </x:c>
      <x:c r="S63" s="32" t="str">
        <x:v>Synthetic context after</x:v>
      </x:c>
      <x:c r="T63" s="32" t="str">
        <x:v>Posted</x:v>
      </x:c>
      <x:c r="U63" s="32" t="str">
        <x:f>IFERROR(VLOOKUP(B63&amp;"|24h",'COMMENT_RECHECK'!$V$5:$Y$204,2,FALSE),"Pending")</x:f>
        <x:v>Visible</x:v>
      </x:c>
      <x:c r="V63" s="32" t="n">
        <x:v>0</x:v>
      </x:c>
      <x:c r="W63" s="32" t="str"/>
      <x:c r="X63" s="32" t="n">
        <x:v>0</x:v>
      </x:c>
      <x:c r="Y63" s="32" t="str">
        <x:v>EVD-SYN-0059-POST</x:v>
      </x:c>
      <x:c r="Z63" s="32" t="str"/>
      <x:c r="AA63" s="32" t="str">
        <x:v>Core</x:v>
      </x:c>
      <x:c r="AB63" s="32" t="str">
        <x:v>N/A</x:v>
      </x:c>
      <x:c r="AC63" s="32" t="str">
        <x:v>Styled</x:v>
      </x:c>
      <x:c r="AD63" s="32" t="str">
        <x:v>TH</x:v>
      </x:c>
      <x:c r="AE63" s="32" t="str">
        <x:v>Yes</x:v>
      </x:c>
      <x:c r="AF63" s="32" t="str">
        <x:v>Standard</x:v>
      </x:c>
      <x:c r="AG63" s="32" t="str">
        <x:v>LIB-019</x:v>
      </x:c>
      <x:c r="AH63" s="32" t="str">
        <x:v>TH</x:v>
      </x:c>
      <x:c r="AI63" s="32" t="str">
        <x:v>Main</x:v>
      </x:c>
      <x:c r="AJ63" s="32" t="str">
        <x:v>None</x:v>
      </x:c>
      <x:c r="AK63" s="32" t="str">
        <x:v>inputs/product_images/IMG004.png</x:v>
      </x:c>
      <x:c r="AL63" s="32" t="str"/>
      <x:c r="AM63" s="32" t="str">
        <x:v>N/A</x:v>
      </x:c>
      <x:c r="AN63" s="32" t="str">
        <x:v>N/A</x:v>
      </x:c>
      <x:c r="AO63" s="32" t="str"/>
      <x:c r="AP63" s="32" t="str">
        <x:v>No</x:v>
      </x:c>
      <x:c r="AQ63" s="32" t="str">
        <x:v>Not Started</x:v>
      </x:c>
      <x:c r="AR63" s="32" t="str">
        <x:v>N/A</x:v>
      </x:c>
      <x:c r="AS63" s="32" t="str">
        <x:f>IFERROR(VLOOKUP(B63&amp;"|24h",'COMMENT_RECHECK'!$V$5:$Y$204,3,FALSE),"")</x:f>
        <x:v>None</x:v>
      </x:c>
      <x:c r="AT63" s="32" t="str">
        <x:v>[SANITIZED]</x:v>
      </x:c>
      <x:c r="AU63" s="32" t="str">
        <x:v>case_account_09</x:v>
      </x:c>
      <x:c r="AV63" s="32" t="str">
        <x:v>[SANITIZED]</x:v>
      </x:c>
      <x:c r="AW63" s="32" t="str">
        <x:v>[SANITIZED]</x:v>
      </x:c>
      <x:c r="AX63" s="32" t="str">
        <x:v>[SANITIZED]</x:v>
      </x:c>
      <x:c r="AY63" s="32" t="str">
        <x:v>Manual Simulation</x:v>
      </x:c>
      <x:c r="AZ63" s="32" t="str">
        <x:v>2026-07-22 17:46</x:v>
      </x:c>
      <x:c r="BA63" s="32" t="str">
        <x:v>2026-07-22 17:46</x:v>
      </x:c>
      <x:c r="BB63" s="32" t="str">
        <x:v>Yes</x:v>
      </x:c>
      <x:c r="BC63" s="32" t="str">
        <x:v>Yes</x:v>
      </x:c>
      <x:c r="BD63" s="32" t="str"/>
      <x:c r="BE63" s="32" t="str"/>
      <x:c r="BF63" s="32" t="str">
        <x:v>No</x:v>
      </x:c>
      <x:c r="BG63" s="32" t="str">
        <x:v>No</x:v>
      </x:c>
      <x:c r="BH63" s="32" t="n">
        <x:v>0</x:v>
      </x:c>
      <x:c r="BI63" s="32" t="str">
        <x:v>24h</x:v>
      </x:c>
      <x:c r="BJ63" s="32" t="str">
        <x:f>IFERROR(VLOOKUP(B63&amp;"|24h",'COMMENT_RECHECK'!$V$5:$Y$204,4,FALSE),"Pending")</x:f>
        <x:v>No Verified User Reply</x:v>
      </x:c>
      <x:c r="BK63" s="33" t="str">
        <x:f>IF(OR(COUNTIF($B$5:$B$104,B63)&gt;1,AND(T63="Posted",BC63&lt;&gt;"Yes"),AND(OR(BJ63="Verified User Reply",BJ63="Mixed Reply"),Y63="")),"Review","OK")</x:f>
        <x:v>OK</x:v>
      </x:c>
    </x:row>
    <x:row r="64">
      <x:c r="A64" s="49" t="n">
        <x:v>46226</x:v>
      </x:c>
      <x:c r="B64" s="32" t="str">
        <x:v>IC-0060</x:v>
      </x:c>
      <x:c r="C64" s="32" t="str">
        <x:v>Account Slot 10</x:v>
      </x:c>
      <x:c r="D64" s="32" t="str">
        <x:v>Synthetic Display 10</x:v>
      </x:c>
      <x:c r="E64" s="32" t="str">
        <x:v>18:53</x:v>
      </x:c>
      <x:c r="F64" s="32" t="str">
        <x:v>creator_case_060</x:v>
      </x:c>
      <x:c r="G64" s="32" t="str">
        <x:v>Tailoring</x:v>
      </x:c>
      <x:c r="H64" s="32" t="str">
        <x:v>https://video.invalid/case/V0060</x:v>
      </x:c>
      <x:c r="I64" s="32" t="str">
        <x:v>รีวิวงานฝีมือ</x:v>
      </x:c>
      <x:c r="J64" s="32" t="str">
        <x:v>2026-07-20 18:00</x:v>
      </x:c>
      <x:c r="K64" s="32" t="n">
        <x:v>3183</x:v>
      </x:c>
      <x:c r="L64" s="32" t="n">
        <x:v>267</x:v>
      </x:c>
      <x:c r="M64" s="32" t="str">
        <x:v>Main comment</x:v>
      </x:c>
      <x:c r="N64" s="32" t="str">
        <x:v>Main comment</x:v>
      </x:c>
      <x:c r="O64" s="32" t="str">
        <x:v>เลเยอร์แบบนี้ทำให้ชุดดูมีมิติโดยยังสบายตาอยู่ ลองใช้ดีเทลตรงคอกับข้อมือแบบในรูปดูค่ะ น่าจะช่วยให้ทั้งลุคคอมพลีตขึ้นมาก</x:v>
      </x:c>
      <x:c r="P64" s="32" t="str">
        <x:v>IMG002</x:v>
      </x:c>
      <x:c r="Q64" s="32" t="str">
        <x:v>White shirt with floral fashion-button details at the collar and cuff</x:v>
      </x:c>
      <x:c r="R64" s="32" t="str">
        <x:v>Synthetic context before</x:v>
      </x:c>
      <x:c r="S64" s="32" t="str">
        <x:v>Synthetic context after</x:v>
      </x:c>
      <x:c r="T64" s="32" t="str">
        <x:v>Posted</x:v>
      </x:c>
      <x:c r="U64" s="32" t="str">
        <x:f>IFERROR(VLOOKUP(B64&amp;"|24h",'COMMENT_RECHECK'!$V$5:$Y$204,2,FALSE),"Pending")</x:f>
        <x:v>Visible</x:v>
      </x:c>
      <x:c r="V64" s="32" t="n">
        <x:v>1</x:v>
      </x:c>
      <x:c r="W64" s="32" t="str">
        <x:v>Synthetic reply preview</x:v>
      </x:c>
      <x:c r="X64" s="32" t="n">
        <x:v>0</x:v>
      </x:c>
      <x:c r="Y64" s="32" t="str">
        <x:v>EVD-SYN-0060-POST</x:v>
      </x:c>
      <x:c r="Z64" s="32" t="str"/>
      <x:c r="AA64" s="32" t="str">
        <x:v>Core</x:v>
      </x:c>
      <x:c r="AB64" s="32" t="str">
        <x:v>N/A</x:v>
      </x:c>
      <x:c r="AC64" s="32" t="str">
        <x:v>Neutral</x:v>
      </x:c>
      <x:c r="AD64" s="32" t="str">
        <x:v>TH</x:v>
      </x:c>
      <x:c r="AE64" s="32" t="str">
        <x:v>Yes</x:v>
      </x:c>
      <x:c r="AF64" s="32" t="str">
        <x:v>Standard</x:v>
      </x:c>
      <x:c r="AG64" s="32" t="str">
        <x:v>LIB-020</x:v>
      </x:c>
      <x:c r="AH64" s="32" t="str">
        <x:v>TH</x:v>
      </x:c>
      <x:c r="AI64" s="32" t="str">
        <x:v>Main</x:v>
      </x:c>
      <x:c r="AJ64" s="32" t="str">
        <x:v>None</x:v>
      </x:c>
      <x:c r="AK64" s="32" t="str">
        <x:v>inputs/product_images/IMG002.png</x:v>
      </x:c>
      <x:c r="AL64" s="32" t="str"/>
      <x:c r="AM64" s="32" t="str">
        <x:v>N/A</x:v>
      </x:c>
      <x:c r="AN64" s="32" t="str">
        <x:v>N/A</x:v>
      </x:c>
      <x:c r="AO64" s="32" t="str"/>
      <x:c r="AP64" s="32" t="str">
        <x:v>No</x:v>
      </x:c>
      <x:c r="AQ64" s="32" t="str">
        <x:v>Not Started</x:v>
      </x:c>
      <x:c r="AR64" s="32" t="str">
        <x:v>N/A</x:v>
      </x:c>
      <x:c r="AS64" s="32" t="str">
        <x:f>IFERROR(VLOOKUP(B64&amp;"|24h",'COMMENT_RECHECK'!$V$5:$Y$204,3,FALSE),"")</x:f>
        <x:v>Creator</x:v>
      </x:c>
      <x:c r="AT64" s="32" t="str">
        <x:v>[SANITIZED]</x:v>
      </x:c>
      <x:c r="AU64" s="32" t="str">
        <x:v>case_account_10</x:v>
      </x:c>
      <x:c r="AV64" s="32" t="str">
        <x:v>[SANITIZED]</x:v>
      </x:c>
      <x:c r="AW64" s="32" t="str">
        <x:v>[SANITIZED]</x:v>
      </x:c>
      <x:c r="AX64" s="32" t="str">
        <x:v>[SANITIZED]</x:v>
      </x:c>
      <x:c r="AY64" s="32" t="str">
        <x:v>Manual Simulation</x:v>
      </x:c>
      <x:c r="AZ64" s="32" t="str">
        <x:v>2026-07-22 18:53</x:v>
      </x:c>
      <x:c r="BA64" s="32" t="str">
        <x:v>2026-07-22 18:53</x:v>
      </x:c>
      <x:c r="BB64" s="32" t="str">
        <x:v>Yes</x:v>
      </x:c>
      <x:c r="BC64" s="32" t="str">
        <x:v>Yes</x:v>
      </x:c>
      <x:c r="BD64" s="32" t="str"/>
      <x:c r="BE64" s="32" t="str"/>
      <x:c r="BF64" s="32" t="str">
        <x:v>No</x:v>
      </x:c>
      <x:c r="BG64" s="32" t="str">
        <x:v>No</x:v>
      </x:c>
      <x:c r="BH64" s="32" t="n">
        <x:v>0</x:v>
      </x:c>
      <x:c r="BI64" s="32" t="str">
        <x:v>24h</x:v>
      </x:c>
      <x:c r="BJ64" s="32" t="str">
        <x:f>IFERROR(VLOOKUP(B64&amp;"|24h",'COMMENT_RECHECK'!$V$5:$Y$204,4,FALSE),"Pending")</x:f>
        <x:v>Verified User Reply</x:v>
      </x:c>
      <x:c r="BK64" s="33" t="str">
        <x:f>IF(OR(COUNTIF($B$5:$B$104,B64)&gt;1,AND(T64="Posted",BC64&lt;&gt;"Yes"),AND(OR(BJ64="Verified User Reply",BJ64="Mixed Reply"),Y64="")),"Review","OK")</x:f>
        <x:v>OK</x:v>
      </x:c>
    </x:row>
    <x:row r="65">
      <x:c r="A65" s="49" t="n">
        <x:v>46226</x:v>
      </x:c>
      <x:c r="B65" s="32" t="str">
        <x:v>IC-0061</x:v>
      </x:c>
      <x:c r="C65" s="32" t="str">
        <x:v>Account Slot 1</x:v>
      </x:c>
      <x:c r="D65" s="32" t="str">
        <x:v>Synthetic Display 1</x:v>
      </x:c>
      <x:c r="E65" s="32" t="str">
        <x:v>09:00</x:v>
      </x:c>
      <x:c r="F65" s="32" t="str">
        <x:v>creator_case_061</x:v>
      </x:c>
      <x:c r="G65" s="32" t="str">
        <x:v>Fashion</x:v>
      </x:c>
      <x:c r="H65" s="32" t="str">
        <x:v>https://video.invalid/case/V0061</x:v>
      </x:c>
      <x:c r="I65" s="32" t="str">
        <x:v>เสื้อเชิ้ตทำงาน</x:v>
      </x:c>
      <x:c r="J65" s="32" t="str">
        <x:v>2026-07-20 18:00</x:v>
      </x:c>
      <x:c r="K65" s="32" t="n">
        <x:v>3220</x:v>
      </x:c>
      <x:c r="L65" s="32" t="n">
        <x:v>270</x:v>
      </x:c>
      <x:c r="M65" s="32" t="str">
        <x:v>Reply</x:v>
      </x:c>
      <x:c r="N65" s="32" t="str">
        <x:v>Synthetic parent</x:v>
      </x:c>
      <x:c r="O65" s="32" t="str">
        <x:v>ทรงคอแบบนี้ทำให้ลุคดูตั้งใจขึ้นแบบกำลังดีค่ะ พอมีตัวครอบกระดุมชิ้นเล็กแบบในรูป ช่วงคอกับข้อมือก็ดูตั้งใจขึ้นทันที</x:v>
      </x:c>
      <x:c r="P65" s="32" t="str">
        <x:v>IMG002</x:v>
      </x:c>
      <x:c r="Q65" s="32" t="str">
        <x:v>White shirt with floral fashion-button details at the collar and cuff</x:v>
      </x:c>
      <x:c r="R65" s="32" t="str">
        <x:v>Synthetic context before</x:v>
      </x:c>
      <x:c r="S65" s="32" t="str">
        <x:v>Synthetic context after</x:v>
      </x:c>
      <x:c r="T65" s="32" t="str">
        <x:v>Posted</x:v>
      </x:c>
      <x:c r="U65" s="32" t="str">
        <x:f>IFERROR(VLOOKUP(B65&amp;"|24h",'COMMENT_RECHECK'!$V$5:$Y$204,2,FALSE),"Pending")</x:f>
        <x:v>Missing</x:v>
      </x:c>
      <x:c r="V65" s="32" t="n">
        <x:v>0</x:v>
      </x:c>
      <x:c r="W65" s="32" t="str"/>
      <x:c r="X65" s="32" t="n">
        <x:v>0</x:v>
      </x:c>
      <x:c r="Y65" s="32" t="str">
        <x:v>EVD-SYN-0061-POST</x:v>
      </x:c>
      <x:c r="Z65" s="32" t="str"/>
      <x:c r="AA65" s="32" t="str">
        <x:v>Advanced</x:v>
      </x:c>
      <x:c r="AB65" s="32" t="str">
        <x:v>N/A</x:v>
      </x:c>
      <x:c r="AC65" s="32" t="str">
        <x:v>Styled</x:v>
      </x:c>
      <x:c r="AD65" s="32" t="str">
        <x:v>TH</x:v>
      </x:c>
      <x:c r="AE65" s="32" t="str">
        <x:v>Yes</x:v>
      </x:c>
      <x:c r="AF65" s="32" t="str">
        <x:v>Standard</x:v>
      </x:c>
      <x:c r="AG65" s="32" t="str">
        <x:v>LIB-001</x:v>
      </x:c>
      <x:c r="AH65" s="32" t="str">
        <x:v>TH</x:v>
      </x:c>
      <x:c r="AI65" s="32" t="str">
        <x:v>Reply</x:v>
      </x:c>
      <x:c r="AJ65" s="32" t="str">
        <x:v>Reference</x:v>
      </x:c>
      <x:c r="AK65" s="32" t="str">
        <x:v>inputs/product_images/IMG002.png</x:v>
      </x:c>
      <x:c r="AL65" s="32" t="str"/>
      <x:c r="AM65" s="32" t="str">
        <x:v>Yes</x:v>
      </x:c>
      <x:c r="AN65" s="32" t="str">
        <x:v>Complete</x:v>
      </x:c>
      <x:c r="AO65" s="32" t="str"/>
      <x:c r="AP65" s="32" t="str">
        <x:v>No</x:v>
      </x:c>
      <x:c r="AQ65" s="32" t="str">
        <x:v>Not Started</x:v>
      </x:c>
      <x:c r="AR65" s="32" t="str">
        <x:v>Fit</x:v>
      </x:c>
      <x:c r="AS65" s="32" t="str">
        <x:f>IFERROR(VLOOKUP(B65&amp;"|24h",'COMMENT_RECHECK'!$V$5:$Y$204,3,FALSE),"")</x:f>
        <x:v>None</x:v>
      </x:c>
      <x:c r="AT65" s="32" t="str">
        <x:v>[SANITIZED]</x:v>
      </x:c>
      <x:c r="AU65" s="32" t="str">
        <x:v>case_account_01</x:v>
      </x:c>
      <x:c r="AV65" s="32" t="str">
        <x:v>[SANITIZED]</x:v>
      </x:c>
      <x:c r="AW65" s="32" t="str">
        <x:v>[SANITIZED]</x:v>
      </x:c>
      <x:c r="AX65" s="32" t="str">
        <x:v>[SANITIZED]</x:v>
      </x:c>
      <x:c r="AY65" s="32" t="str">
        <x:v>Manual Simulation</x:v>
      </x:c>
      <x:c r="AZ65" s="32" t="str">
        <x:v>2026-07-22 09:00</x:v>
      </x:c>
      <x:c r="BA65" s="32" t="str">
        <x:v>2026-07-22 09:00</x:v>
      </x:c>
      <x:c r="BB65" s="32" t="str">
        <x:v>Yes</x:v>
      </x:c>
      <x:c r="BC65" s="32" t="str">
        <x:v>Yes</x:v>
      </x:c>
      <x:c r="BD65" s="32" t="str"/>
      <x:c r="BE65" s="32" t="str"/>
      <x:c r="BF65" s="32" t="str">
        <x:v>No</x:v>
      </x:c>
      <x:c r="BG65" s="32" t="str">
        <x:v>No</x:v>
      </x:c>
      <x:c r="BH65" s="32" t="n">
        <x:v>0</x:v>
      </x:c>
      <x:c r="BI65" s="32" t="str">
        <x:v>24h</x:v>
      </x:c>
      <x:c r="BJ65" s="32" t="str">
        <x:f>IFERROR(VLOOKUP(B65&amp;"|24h",'COMMENT_RECHECK'!$V$5:$Y$204,4,FALSE),"Pending")</x:f>
        <x:v>No Verified User Reply</x:v>
      </x:c>
      <x:c r="BK65" s="33" t="str">
        <x:f>IF(OR(COUNTIF($B$5:$B$104,B65)&gt;1,AND(T65="Posted",BC65&lt;&gt;"Yes"),AND(OR(BJ65="Verified User Reply",BJ65="Mixed Reply"),Y65="")),"Review","OK")</x:f>
        <x:v>OK</x:v>
      </x:c>
    </x:row>
    <x:row r="66">
      <x:c r="A66" s="49" t="n">
        <x:v>46226</x:v>
      </x:c>
      <x:c r="B66" s="32" t="str">
        <x:v>IC-0062</x:v>
      </x:c>
      <x:c r="C66" s="32" t="str">
        <x:v>Account Slot 2</x:v>
      </x:c>
      <x:c r="D66" s="32" t="str">
        <x:v>Synthetic Display 2</x:v>
      </x:c>
      <x:c r="E66" s="32" t="str">
        <x:v>10:07</x:v>
      </x:c>
      <x:c r="F66" s="32" t="str">
        <x:v>creator_case_062</x:v>
      </x:c>
      <x:c r="G66" s="32" t="str">
        <x:v>DIY</x:v>
      </x:c>
      <x:c r="H66" s="32" t="str">
        <x:v>https://video.invalid/case/V0062</x:v>
      </x:c>
      <x:c r="I66" s="32" t="str">
        <x:v>แจ็กเก็ตเดนิม</x:v>
      </x:c>
      <x:c r="J66" s="32" t="str">
        <x:v>2026-07-20 18:00</x:v>
      </x:c>
      <x:c r="K66" s="32" t="n">
        <x:v>3257</x:v>
      </x:c>
      <x:c r="L66" s="32" t="n">
        <x:v>273</x:v>
      </x:c>
      <x:c r="M66" s="32" t="str">
        <x:v>Main comment</x:v>
      </x:c>
      <x:c r="N66" s="32" t="str">
        <x:v>Main comment</x:v>
      </x:c>
      <x:c r="O66" s="32" t="str">
        <x:v>เชิ้ตตัวนี้ให้มู้ดสุภาพแต่ยังดูทันสมัยอยู่ค่ะ ถ้าเล่นลูกเล่นกระดุมดอกไม้เล็ก ๆ แบบในรูป ช่วงบนของลุคน่าจะเด่นขึ้นพอดีค่ะ</x:v>
      </x:c>
      <x:c r="P66" s="32" t="str">
        <x:v>IMG002</x:v>
      </x:c>
      <x:c r="Q66" s="32" t="str">
        <x:v>White shirt with floral fashion-button details at the collar and cuff</x:v>
      </x:c>
      <x:c r="R66" s="32" t="str">
        <x:v>Synthetic context before</x:v>
      </x:c>
      <x:c r="S66" s="32" t="str">
        <x:v>Synthetic context after</x:v>
      </x:c>
      <x:c r="T66" s="32" t="str">
        <x:v>Posted</x:v>
      </x:c>
      <x:c r="U66" s="32" t="str">
        <x:f>IFERROR(VLOOKUP(B66&amp;"|24h",'COMMENT_RECHECK'!$V$5:$Y$204,2,FALSE),"Pending")</x:f>
        <x:v>Visible</x:v>
      </x:c>
      <x:c r="V66" s="32" t="n">
        <x:v>0</x:v>
      </x:c>
      <x:c r="W66" s="32" t="str"/>
      <x:c r="X66" s="32" t="n">
        <x:v>0</x:v>
      </x:c>
      <x:c r="Y66" s="32" t="str">
        <x:v>EVD-SYN-0062-POST</x:v>
      </x:c>
      <x:c r="Z66" s="32" t="str"/>
      <x:c r="AA66" s="32" t="str">
        <x:v>Advanced</x:v>
      </x:c>
      <x:c r="AB66" s="32" t="str">
        <x:v>N/A</x:v>
      </x:c>
      <x:c r="AC66" s="32" t="str">
        <x:v>Neutral</x:v>
      </x:c>
      <x:c r="AD66" s="32" t="str">
        <x:v>TH</x:v>
      </x:c>
      <x:c r="AE66" s="32" t="str">
        <x:v>Yes</x:v>
      </x:c>
      <x:c r="AF66" s="32" t="str">
        <x:v>Standard</x:v>
      </x:c>
      <x:c r="AG66" s="32" t="str">
        <x:v>LIB-002</x:v>
      </x:c>
      <x:c r="AH66" s="32" t="str">
        <x:v>TH</x:v>
      </x:c>
      <x:c r="AI66" s="32" t="str">
        <x:v>Main</x:v>
      </x:c>
      <x:c r="AJ66" s="32" t="str">
        <x:v>None</x:v>
      </x:c>
      <x:c r="AK66" s="32" t="str">
        <x:v>inputs/product_images/IMG002.png</x:v>
      </x:c>
      <x:c r="AL66" s="32" t="str"/>
      <x:c r="AM66" s="32" t="str">
        <x:v>N/A</x:v>
      </x:c>
      <x:c r="AN66" s="32" t="str">
        <x:v>N/A</x:v>
      </x:c>
      <x:c r="AO66" s="32" t="str"/>
      <x:c r="AP66" s="32" t="str">
        <x:v>No</x:v>
      </x:c>
      <x:c r="AQ66" s="32" t="str">
        <x:v>Not Started</x:v>
      </x:c>
      <x:c r="AR66" s="32" t="str">
        <x:v>N/A</x:v>
      </x:c>
      <x:c r="AS66" s="32" t="str">
        <x:f>IFERROR(VLOOKUP(B66&amp;"|24h",'COMMENT_RECHECK'!$V$5:$Y$204,3,FALSE),"")</x:f>
        <x:v>None</x:v>
      </x:c>
      <x:c r="AT66" s="32" t="str">
        <x:v>[SANITIZED]</x:v>
      </x:c>
      <x:c r="AU66" s="32" t="str">
        <x:v>case_account_02</x:v>
      </x:c>
      <x:c r="AV66" s="32" t="str">
        <x:v>[SANITIZED]</x:v>
      </x:c>
      <x:c r="AW66" s="32" t="str">
        <x:v>[SANITIZED]</x:v>
      </x:c>
      <x:c r="AX66" s="32" t="str">
        <x:v>[SANITIZED]</x:v>
      </x:c>
      <x:c r="AY66" s="32" t="str">
        <x:v>Manual Simulation</x:v>
      </x:c>
      <x:c r="AZ66" s="32" t="str">
        <x:v>2026-07-22 10:07</x:v>
      </x:c>
      <x:c r="BA66" s="32" t="str">
        <x:v>2026-07-22 10:07</x:v>
      </x:c>
      <x:c r="BB66" s="32" t="str">
        <x:v>Yes</x:v>
      </x:c>
      <x:c r="BC66" s="32" t="str">
        <x:v>Yes</x:v>
      </x:c>
      <x:c r="BD66" s="32" t="str"/>
      <x:c r="BE66" s="32" t="str"/>
      <x:c r="BF66" s="32" t="str">
        <x:v>No</x:v>
      </x:c>
      <x:c r="BG66" s="32" t="str">
        <x:v>No</x:v>
      </x:c>
      <x:c r="BH66" s="32" t="n">
        <x:v>0</x:v>
      </x:c>
      <x:c r="BI66" s="32" t="str">
        <x:v>24h</x:v>
      </x:c>
      <x:c r="BJ66" s="32" t="str">
        <x:f>IFERROR(VLOOKUP(B66&amp;"|24h",'COMMENT_RECHECK'!$V$5:$Y$204,4,FALSE),"Pending")</x:f>
        <x:v>No Verified User Reply</x:v>
      </x:c>
      <x:c r="BK66" s="33" t="str">
        <x:f>IF(OR(COUNTIF($B$5:$B$104,B66)&gt;1,AND(T66="Posted",BC66&lt;&gt;"Yes"),AND(OR(BJ66="Verified User Reply",BJ66="Mixed Reply"),Y66="")),"Review","OK")</x:f>
        <x:v>OK</x:v>
      </x:c>
    </x:row>
    <x:row r="67">
      <x:c r="A67" s="49" t="n">
        <x:v>46226</x:v>
      </x:c>
      <x:c r="B67" s="32" t="str">
        <x:v>IC-0063</x:v>
      </x:c>
      <x:c r="C67" s="32" t="str">
        <x:v>Account Slot 3</x:v>
      </x:c>
      <x:c r="D67" s="32" t="str">
        <x:v>Synthetic Display 3</x:v>
      </x:c>
      <x:c r="E67" s="32" t="str">
        <x:v>11:14</x:v>
      </x:c>
      <x:c r="F67" s="32" t="str">
        <x:v>creator_case_063</x:v>
      </x:c>
      <x:c r="G67" s="32" t="str">
        <x:v>Lifestyle</x:v>
      </x:c>
      <x:c r="H67" s="32" t="str">
        <x:v>https://video.invalid/case/V0063</x:v>
      </x:c>
      <x:c r="I67" s="32" t="str">
        <x:v>เดรสออกงาน</x:v>
      </x:c>
      <x:c r="J67" s="32" t="str">
        <x:v>2026-07-20 18:00</x:v>
      </x:c>
      <x:c r="K67" s="32" t="n">
        <x:v>3294</x:v>
      </x:c>
      <x:c r="L67" s="32" t="n">
        <x:v>276</x:v>
      </x:c>
      <x:c r="M67" s="32" t="str">
        <x:v>Main comment</x:v>
      </x:c>
      <x:c r="N67" s="32" t="str">
        <x:v>Main comment</x:v>
      </x:c>
      <x:c r="O67" s="32" t="str">
        <x:v>ลุคทำงานนี้ดูสุภาพและใช้งานจริงได้มากค่ะ พอมีตัวครอบกระดุมชิ้นเล็กแบบในรูป ช่วงคอกับข้อมือก็ดูตั้งใจขึ้นทันที</x:v>
      </x:c>
      <x:c r="P67" s="32" t="str">
        <x:v>IMG002</x:v>
      </x:c>
      <x:c r="Q67" s="32" t="str">
        <x:v>White shirt with floral fashion-button details at the collar and cuff</x:v>
      </x:c>
      <x:c r="R67" s="32" t="str">
        <x:v>Synthetic context before</x:v>
      </x:c>
      <x:c r="S67" s="32" t="str">
        <x:v>Synthetic context after</x:v>
      </x:c>
      <x:c r="T67" s="32" t="str">
        <x:v>Posted</x:v>
      </x:c>
      <x:c r="U67" s="32" t="str">
        <x:f>IFERROR(VLOOKUP(B67&amp;"|24h",'COMMENT_RECHECK'!$V$5:$Y$204,2,FALSE),"Pending")</x:f>
        <x:v>Visible</x:v>
      </x:c>
      <x:c r="V67" s="32" t="n">
        <x:v>0</x:v>
      </x:c>
      <x:c r="W67" s="32" t="str"/>
      <x:c r="X67" s="32" t="n">
        <x:v>0</x:v>
      </x:c>
      <x:c r="Y67" s="32" t="str">
        <x:v>EVD-SYN-0063-POST</x:v>
      </x:c>
      <x:c r="Z67" s="32" t="str"/>
      <x:c r="AA67" s="32" t="str">
        <x:v>Advanced</x:v>
      </x:c>
      <x:c r="AB67" s="32" t="str">
        <x:v>N/A</x:v>
      </x:c>
      <x:c r="AC67" s="32" t="str">
        <x:v>Styled</x:v>
      </x:c>
      <x:c r="AD67" s="32" t="str">
        <x:v>TH</x:v>
      </x:c>
      <x:c r="AE67" s="32" t="str">
        <x:v>Yes</x:v>
      </x:c>
      <x:c r="AF67" s="32" t="str">
        <x:v>Standard</x:v>
      </x:c>
      <x:c r="AG67" s="32" t="str">
        <x:v>LIB-003</x:v>
      </x:c>
      <x:c r="AH67" s="32" t="str">
        <x:v>TH</x:v>
      </x:c>
      <x:c r="AI67" s="32" t="str">
        <x:v>Main</x:v>
      </x:c>
      <x:c r="AJ67" s="32" t="str">
        <x:v>None</x:v>
      </x:c>
      <x:c r="AK67" s="32" t="str">
        <x:v>inputs/product_images/IMG002.png</x:v>
      </x:c>
      <x:c r="AL67" s="32" t="str"/>
      <x:c r="AM67" s="32" t="str">
        <x:v>N/A</x:v>
      </x:c>
      <x:c r="AN67" s="32" t="str">
        <x:v>N/A</x:v>
      </x:c>
      <x:c r="AO67" s="32" t="str"/>
      <x:c r="AP67" s="32" t="str">
        <x:v>No</x:v>
      </x:c>
      <x:c r="AQ67" s="32" t="str">
        <x:v>Not Started</x:v>
      </x:c>
      <x:c r="AR67" s="32" t="str">
        <x:v>N/A</x:v>
      </x:c>
      <x:c r="AS67" s="32" t="str">
        <x:f>IFERROR(VLOOKUP(B67&amp;"|24h",'COMMENT_RECHECK'!$V$5:$Y$204,3,FALSE),"")</x:f>
        <x:v>None</x:v>
      </x:c>
      <x:c r="AT67" s="32" t="str">
        <x:v>[SANITIZED]</x:v>
      </x:c>
      <x:c r="AU67" s="32" t="str">
        <x:v>case_account_03</x:v>
      </x:c>
      <x:c r="AV67" s="32" t="str">
        <x:v>[SANITIZED]</x:v>
      </x:c>
      <x:c r="AW67" s="32" t="str">
        <x:v>[SANITIZED]</x:v>
      </x:c>
      <x:c r="AX67" s="32" t="str">
        <x:v>[SANITIZED]</x:v>
      </x:c>
      <x:c r="AY67" s="32" t="str">
        <x:v>Manual Simulation</x:v>
      </x:c>
      <x:c r="AZ67" s="32" t="str">
        <x:v>2026-07-22 11:14</x:v>
      </x:c>
      <x:c r="BA67" s="32" t="str">
        <x:v>2026-07-22 11:14</x:v>
      </x:c>
      <x:c r="BB67" s="32" t="str">
        <x:v>Yes</x:v>
      </x:c>
      <x:c r="BC67" s="32" t="str">
        <x:v>Yes</x:v>
      </x:c>
      <x:c r="BD67" s="32" t="str"/>
      <x:c r="BE67" s="32" t="str"/>
      <x:c r="BF67" s="32" t="str">
        <x:v>No</x:v>
      </x:c>
      <x:c r="BG67" s="32" t="str">
        <x:v>No</x:v>
      </x:c>
      <x:c r="BH67" s="32" t="n">
        <x:v>0</x:v>
      </x:c>
      <x:c r="BI67" s="32" t="str">
        <x:v>24h</x:v>
      </x:c>
      <x:c r="BJ67" s="32" t="str">
        <x:f>IFERROR(VLOOKUP(B67&amp;"|24h",'COMMENT_RECHECK'!$V$5:$Y$204,4,FALSE),"Pending")</x:f>
        <x:v>No Verified User Reply</x:v>
      </x:c>
      <x:c r="BK67" s="33" t="str">
        <x:f>IF(OR(COUNTIF($B$5:$B$104,B67)&gt;1,AND(T67="Posted",BC67&lt;&gt;"Yes"),AND(OR(BJ67="Verified User Reply",BJ67="Mixed Reply"),Y67="")),"Review","OK")</x:f>
        <x:v>OK</x:v>
      </x:c>
    </x:row>
    <x:row r="68">
      <x:c r="A68" s="49" t="n">
        <x:v>46226</x:v>
      </x:c>
      <x:c r="B68" s="32" t="str">
        <x:v>IC-0064</x:v>
      </x:c>
      <x:c r="C68" s="32" t="str">
        <x:v>Account Slot 4</x:v>
      </x:c>
      <x:c r="D68" s="32" t="str">
        <x:v>Synthetic Display 4</x:v>
      </x:c>
      <x:c r="E68" s="32" t="str">
        <x:v>12:21</x:v>
      </x:c>
      <x:c r="F68" s="32" t="str">
        <x:v>creator_case_064</x:v>
      </x:c>
      <x:c r="G68" s="32" t="str">
        <x:v>Tailoring</x:v>
      </x:c>
      <x:c r="H68" s="32" t="str">
        <x:v>https://video.invalid/case/V0064</x:v>
      </x:c>
      <x:c r="I68" s="32" t="str">
        <x:v>งานเย็บ DIY</x:v>
      </x:c>
      <x:c r="J68" s="32" t="str">
        <x:v>2026-07-20 18:00</x:v>
      </x:c>
      <x:c r="K68" s="32" t="n">
        <x:v>3331</x:v>
      </x:c>
      <x:c r="L68" s="32" t="n">
        <x:v>279</x:v>
      </x:c>
      <x:c r="M68" s="32" t="str">
        <x:v>Main comment</x:v>
      </x:c>
      <x:c r="N68" s="32" t="str">
        <x:v>Main comment</x:v>
      </x:c>
      <x:c r="O68" s="32" t="str">
        <x:v>ชุดนี้แต่งตามง่ายและเหมาะกับหลายโอกาสจริงค่ะ เสื้อทรงนี้ถ้าเพิ่มตัวครอบกระดุมสีอ่อนแบบในรูป น่าจะดูหวานขึ้นโดยไม่หลุดโทนค่ะ</x:v>
      </x:c>
      <x:c r="P68" s="32" t="str">
        <x:v>IMG002</x:v>
      </x:c>
      <x:c r="Q68" s="32" t="str">
        <x:v>White shirt with floral fashion-button details at the collar and cuff</x:v>
      </x:c>
      <x:c r="R68" s="32" t="str">
        <x:v>Synthetic context before</x:v>
      </x:c>
      <x:c r="S68" s="32" t="str">
        <x:v>Synthetic context after</x:v>
      </x:c>
      <x:c r="T68" s="32" t="str">
        <x:v>Posted</x:v>
      </x:c>
      <x:c r="U68" s="32" t="str">
        <x:f>IFERROR(VLOOKUP(B68&amp;"|24h",'COMMENT_RECHECK'!$V$5:$Y$204,2,FALSE),"Pending")</x:f>
        <x:v>Visible</x:v>
      </x:c>
      <x:c r="V68" s="32" t="n">
        <x:v>1</x:v>
      </x:c>
      <x:c r="W68" s="32" t="str">
        <x:v>Synthetic reply preview</x:v>
      </x:c>
      <x:c r="X68" s="32" t="n">
        <x:v>0</x:v>
      </x:c>
      <x:c r="Y68" s="32" t="str">
        <x:v>EVD-SYN-0064-POST</x:v>
      </x:c>
      <x:c r="Z68" s="32" t="str"/>
      <x:c r="AA68" s="32" t="str">
        <x:v>Advanced</x:v>
      </x:c>
      <x:c r="AB68" s="32" t="str">
        <x:v>N/A</x:v>
      </x:c>
      <x:c r="AC68" s="32" t="str">
        <x:v>Neutral</x:v>
      </x:c>
      <x:c r="AD68" s="32" t="str">
        <x:v>TH</x:v>
      </x:c>
      <x:c r="AE68" s="32" t="str">
        <x:v>Yes</x:v>
      </x:c>
      <x:c r="AF68" s="32" t="str">
        <x:v>Standard</x:v>
      </x:c>
      <x:c r="AG68" s="32" t="str">
        <x:v>LIB-004</x:v>
      </x:c>
      <x:c r="AH68" s="32" t="str">
        <x:v>TH</x:v>
      </x:c>
      <x:c r="AI68" s="32" t="str">
        <x:v>Main</x:v>
      </x:c>
      <x:c r="AJ68" s="32" t="str">
        <x:v>None</x:v>
      </x:c>
      <x:c r="AK68" s="32" t="str">
        <x:v>inputs/product_images/IMG002.png</x:v>
      </x:c>
      <x:c r="AL68" s="32" t="str"/>
      <x:c r="AM68" s="32" t="str">
        <x:v>N/A</x:v>
      </x:c>
      <x:c r="AN68" s="32" t="str">
        <x:v>N/A</x:v>
      </x:c>
      <x:c r="AO68" s="32" t="str"/>
      <x:c r="AP68" s="32" t="str">
        <x:v>Potential</x:v>
      </x:c>
      <x:c r="AQ68" s="32" t="str">
        <x:v>Not Started</x:v>
      </x:c>
      <x:c r="AR68" s="32" t="str">
        <x:v>N/A</x:v>
      </x:c>
      <x:c r="AS68" s="32" t="str">
        <x:f>IFERROR(VLOOKUP(B68&amp;"|24h",'COMMENT_RECHECK'!$V$5:$Y$204,3,FALSE),"")</x:f>
        <x:v>User</x:v>
      </x:c>
      <x:c r="AT68" s="32" t="str">
        <x:v>[SANITIZED]</x:v>
      </x:c>
      <x:c r="AU68" s="32" t="str">
        <x:v>case_account_04</x:v>
      </x:c>
      <x:c r="AV68" s="32" t="str">
        <x:v>[SANITIZED]</x:v>
      </x:c>
      <x:c r="AW68" s="32" t="str">
        <x:v>[SANITIZED]</x:v>
      </x:c>
      <x:c r="AX68" s="32" t="str">
        <x:v>[SANITIZED]</x:v>
      </x:c>
      <x:c r="AY68" s="32" t="str">
        <x:v>Manual Simulation</x:v>
      </x:c>
      <x:c r="AZ68" s="32" t="str">
        <x:v>2026-07-22 12:21</x:v>
      </x:c>
      <x:c r="BA68" s="32" t="str">
        <x:v>2026-07-22 12:21</x:v>
      </x:c>
      <x:c r="BB68" s="32" t="str">
        <x:v>Yes</x:v>
      </x:c>
      <x:c r="BC68" s="32" t="str">
        <x:v>Yes</x:v>
      </x:c>
      <x:c r="BD68" s="32" t="str"/>
      <x:c r="BE68" s="32" t="str"/>
      <x:c r="BF68" s="32" t="str">
        <x:v>No</x:v>
      </x:c>
      <x:c r="BG68" s="32" t="str">
        <x:v>No</x:v>
      </x:c>
      <x:c r="BH68" s="32" t="n">
        <x:v>0</x:v>
      </x:c>
      <x:c r="BI68" s="32" t="str">
        <x:v>24h</x:v>
      </x:c>
      <x:c r="BJ68" s="32" t="str">
        <x:f>IFERROR(VLOOKUP(B68&amp;"|24h",'COMMENT_RECHECK'!$V$5:$Y$204,4,FALSE),"Pending")</x:f>
        <x:v>Verified User Reply</x:v>
      </x:c>
      <x:c r="BK68" s="33" t="str">
        <x:f>IF(OR(COUNTIF($B$5:$B$104,B68)&gt;1,AND(T68="Posted",BC68&lt;&gt;"Yes"),AND(OR(BJ68="Verified User Reply",BJ68="Mixed Reply"),Y68="")),"Review","OK")</x:f>
        <x:v>OK</x:v>
      </x:c>
    </x:row>
    <x:row r="69">
      <x:c r="A69" s="49" t="n">
        <x:v>46226</x:v>
      </x:c>
      <x:c r="B69" s="32" t="str">
        <x:v>IC-0065</x:v>
      </x:c>
      <x:c r="C69" s="32" t="str">
        <x:v>Account Slot 5</x:v>
      </x:c>
      <x:c r="D69" s="32" t="str">
        <x:v>Synthetic Display 5</x:v>
      </x:c>
      <x:c r="E69" s="32" t="str">
        <x:v>13:28</x:v>
      </x:c>
      <x:c r="F69" s="32" t="str">
        <x:v>creator_case_065</x:v>
      </x:c>
      <x:c r="G69" s="32" t="str">
        <x:v>Fashion</x:v>
      </x:c>
      <x:c r="H69" s="32" t="str">
        <x:v>https://video.invalid/case/V0065</x:v>
      </x:c>
      <x:c r="I69" s="32" t="str">
        <x:v>การซ่อมเสื้อ</x:v>
      </x:c>
      <x:c r="J69" s="32" t="str">
        <x:v>2026-07-20 18:00</x:v>
      </x:c>
      <x:c r="K69" s="32" t="n">
        <x:v>3368</x:v>
      </x:c>
      <x:c r="L69" s="32" t="n">
        <x:v>282</x:v>
      </x:c>
      <x:c r="M69" s="32" t="str">
        <x:v>Reply</x:v>
      </x:c>
      <x:c r="N69" s="32" t="str">
        <x:v>Synthetic parent</x:v>
      </x:c>
      <x:c r="O69" s="32" t="str">
        <x:v>OOTD นี้คุมความเรียบกับความเก๋ได้พอดีเลย จุดเล็ก ๆ โทนชมพูแบบในรูปทำให้เสื้อขาวดูละมุนและแต่งสนุกขึ้นมาก</x:v>
      </x:c>
      <x:c r="P69" s="32" t="str">
        <x:v>IMG002</x:v>
      </x:c>
      <x:c r="Q69" s="32" t="str">
        <x:v>White shirt with floral fashion-button details at the collar and cuff</x:v>
      </x:c>
      <x:c r="R69" s="32" t="str">
        <x:v>Synthetic context before</x:v>
      </x:c>
      <x:c r="S69" s="32" t="str">
        <x:v>Synthetic context after</x:v>
      </x:c>
      <x:c r="T69" s="32" t="str">
        <x:v>Posted</x:v>
      </x:c>
      <x:c r="U69" s="32" t="str">
        <x:f>IFERROR(VLOOKUP(B69&amp;"|24h",'COMMENT_RECHECK'!$V$5:$Y$204,2,FALSE),"Pending")</x:f>
        <x:v>Visible</x:v>
      </x:c>
      <x:c r="V69" s="32" t="n">
        <x:v>0</x:v>
      </x:c>
      <x:c r="W69" s="32" t="str"/>
      <x:c r="X69" s="32" t="n">
        <x:v>0</x:v>
      </x:c>
      <x:c r="Y69" s="32" t="str">
        <x:v>EVD-SYN-0065-POST</x:v>
      </x:c>
      <x:c r="Z69" s="32" t="str"/>
      <x:c r="AA69" s="32" t="str">
        <x:v>Advanced</x:v>
      </x:c>
      <x:c r="AB69" s="32" t="str">
        <x:v>N/A</x:v>
      </x:c>
      <x:c r="AC69" s="32" t="str">
        <x:v>Styled</x:v>
      </x:c>
      <x:c r="AD69" s="32" t="str">
        <x:v>TH</x:v>
      </x:c>
      <x:c r="AE69" s="32" t="str">
        <x:v>Yes</x:v>
      </x:c>
      <x:c r="AF69" s="32" t="str">
        <x:v>Standard</x:v>
      </x:c>
      <x:c r="AG69" s="32" t="str">
        <x:v>LIB-005</x:v>
      </x:c>
      <x:c r="AH69" s="32" t="str">
        <x:v>TH</x:v>
      </x:c>
      <x:c r="AI69" s="32" t="str">
        <x:v>Reply</x:v>
      </x:c>
      <x:c r="AJ69" s="32" t="str">
        <x:v>None</x:v>
      </x:c>
      <x:c r="AK69" s="32" t="str">
        <x:v>inputs/product_images/IMG002.png</x:v>
      </x:c>
      <x:c r="AL69" s="32" t="str"/>
      <x:c r="AM69" s="32" t="str">
        <x:v>N/A</x:v>
      </x:c>
      <x:c r="AN69" s="32" t="str">
        <x:v>N/A</x:v>
      </x:c>
      <x:c r="AO69" s="32" t="str"/>
      <x:c r="AP69" s="32" t="str">
        <x:v>No</x:v>
      </x:c>
      <x:c r="AQ69" s="32" t="str">
        <x:v>Not Started</x:v>
      </x:c>
      <x:c r="AR69" s="32" t="str">
        <x:v>N/A</x:v>
      </x:c>
      <x:c r="AS69" s="32" t="str">
        <x:f>IFERROR(VLOOKUP(B69&amp;"|24h",'COMMENT_RECHECK'!$V$5:$Y$204,3,FALSE),"")</x:f>
        <x:v>None</x:v>
      </x:c>
      <x:c r="AT69" s="32" t="str">
        <x:v>[SANITIZED]</x:v>
      </x:c>
      <x:c r="AU69" s="32" t="str">
        <x:v>case_account_05</x:v>
      </x:c>
      <x:c r="AV69" s="32" t="str">
        <x:v>[SANITIZED]</x:v>
      </x:c>
      <x:c r="AW69" s="32" t="str">
        <x:v>[SANITIZED]</x:v>
      </x:c>
      <x:c r="AX69" s="32" t="str">
        <x:v>[SANITIZED]</x:v>
      </x:c>
      <x:c r="AY69" s="32" t="str">
        <x:v>Manual Simulation</x:v>
      </x:c>
      <x:c r="AZ69" s="32" t="str">
        <x:v>2026-07-22 13:28</x:v>
      </x:c>
      <x:c r="BA69" s="32" t="str">
        <x:v>2026-07-22 13:28</x:v>
      </x:c>
      <x:c r="BB69" s="32" t="str">
        <x:v>Yes</x:v>
      </x:c>
      <x:c r="BC69" s="32" t="str">
        <x:v>Yes</x:v>
      </x:c>
      <x:c r="BD69" s="32" t="str"/>
      <x:c r="BE69" s="32" t="str"/>
      <x:c r="BF69" s="32" t="str">
        <x:v>No</x:v>
      </x:c>
      <x:c r="BG69" s="32" t="str">
        <x:v>No</x:v>
      </x:c>
      <x:c r="BH69" s="32" t="n">
        <x:v>0</x:v>
      </x:c>
      <x:c r="BI69" s="32" t="str">
        <x:v>24h</x:v>
      </x:c>
      <x:c r="BJ69" s="32" t="str">
        <x:f>IFERROR(VLOOKUP(B69&amp;"|24h",'COMMENT_RECHECK'!$V$5:$Y$204,4,FALSE),"Pending")</x:f>
        <x:v>No Verified User Reply</x:v>
      </x:c>
      <x:c r="BK69" s="33" t="str">
        <x:f>IF(OR(COUNTIF($B$5:$B$104,B69)&gt;1,AND(T69="Posted",BC69&lt;&gt;"Yes"),AND(OR(BJ69="Verified User Reply",BJ69="Mixed Reply"),Y69="")),"Review","OK")</x:f>
        <x:v>OK</x:v>
      </x:c>
    </x:row>
    <x:row r="70">
      <x:c r="A70" s="49" t="n">
        <x:v>46226</x:v>
      </x:c>
      <x:c r="B70" s="32" t="str">
        <x:v>IC-0066</x:v>
      </x:c>
      <x:c r="C70" s="32" t="str">
        <x:v>Account Slot 6</x:v>
      </x:c>
      <x:c r="D70" s="32" t="str">
        <x:v>Synthetic Display 6</x:v>
      </x:c>
      <x:c r="E70" s="32" t="str">
        <x:v>14:35</x:v>
      </x:c>
      <x:c r="F70" s="32" t="str">
        <x:v>creator_case_066</x:v>
      </x:c>
      <x:c r="G70" s="32" t="str">
        <x:v>DIY</x:v>
      </x:c>
      <x:c r="H70" s="32" t="str">
        <x:v>https://video.invalid/case/V0066</x:v>
      </x:c>
      <x:c r="I70" s="32" t="str">
        <x:v>แฟชั่นวินเทจ</x:v>
      </x:c>
      <x:c r="J70" s="32" t="str">
        <x:v>2026-07-20 18:00</x:v>
      </x:c>
      <x:c r="K70" s="32" t="n">
        <x:v>3405</x:v>
      </x:c>
      <x:c r="L70" s="32" t="n">
        <x:v>285</x:v>
      </x:c>
      <x:c r="M70" s="32" t="str">
        <x:v>Main comment</x:v>
      </x:c>
      <x:c r="N70" s="32" t="str">
        <x:v>Main comment</x:v>
      </x:c>
      <x:c r="O70" s="32" t="str">
        <x:v>เลเยอร์แบบนี้ทำให้ชุดดูมีมิติโดยยังสบายตาอยู่ ลองจับคู่ชุดนี้กับดีเทลกระดุมโทนชมพูแบบในรูปค่ะ ยังคลีนแต่ดูมีอะไรมากขึ้น</x:v>
      </x:c>
      <x:c r="P70" s="32" t="str">
        <x:v>IMG002</x:v>
      </x:c>
      <x:c r="Q70" s="32" t="str">
        <x:v>White shirt with floral fashion-button details at the collar and cuff</x:v>
      </x:c>
      <x:c r="R70" s="32" t="str">
        <x:v>Synthetic context before</x:v>
      </x:c>
      <x:c r="S70" s="32" t="str">
        <x:v>Synthetic context after</x:v>
      </x:c>
      <x:c r="T70" s="32" t="str">
        <x:v>Posted</x:v>
      </x:c>
      <x:c r="U70" s="32" t="str">
        <x:f>IFERROR(VLOOKUP(B70&amp;"|24h",'COMMENT_RECHECK'!$V$5:$Y$204,2,FALSE),"Pending")</x:f>
        <x:v>Missing</x:v>
      </x:c>
      <x:c r="V70" s="32" t="n">
        <x:v>0</x:v>
      </x:c>
      <x:c r="W70" s="32" t="str"/>
      <x:c r="X70" s="32" t="n">
        <x:v>0</x:v>
      </x:c>
      <x:c r="Y70" s="32" t="str">
        <x:v>EVD-SYN-0066-POST</x:v>
      </x:c>
      <x:c r="Z70" s="32" t="str"/>
      <x:c r="AA70" s="32" t="str">
        <x:v>Advanced</x:v>
      </x:c>
      <x:c r="AB70" s="32" t="str">
        <x:v>N/A</x:v>
      </x:c>
      <x:c r="AC70" s="32" t="str">
        <x:v>Neutral</x:v>
      </x:c>
      <x:c r="AD70" s="32" t="str">
        <x:v>TH</x:v>
      </x:c>
      <x:c r="AE70" s="32" t="str">
        <x:v>Yes</x:v>
      </x:c>
      <x:c r="AF70" s="32" t="str">
        <x:v>Standard</x:v>
      </x:c>
      <x:c r="AG70" s="32" t="str">
        <x:v>LIB-006</x:v>
      </x:c>
      <x:c r="AH70" s="32" t="str">
        <x:v>TH</x:v>
      </x:c>
      <x:c r="AI70" s="32" t="str">
        <x:v>Main</x:v>
      </x:c>
      <x:c r="AJ70" s="32" t="str">
        <x:v>None</x:v>
      </x:c>
      <x:c r="AK70" s="32" t="str">
        <x:v>inputs/product_images/IMG002.png</x:v>
      </x:c>
      <x:c r="AL70" s="32" t="str"/>
      <x:c r="AM70" s="32" t="str">
        <x:v>N/A</x:v>
      </x:c>
      <x:c r="AN70" s="32" t="str">
        <x:v>N/A</x:v>
      </x:c>
      <x:c r="AO70" s="32" t="str"/>
      <x:c r="AP70" s="32" t="str">
        <x:v>No</x:v>
      </x:c>
      <x:c r="AQ70" s="32" t="str">
        <x:v>Not Started</x:v>
      </x:c>
      <x:c r="AR70" s="32" t="str">
        <x:v>N/A</x:v>
      </x:c>
      <x:c r="AS70" s="32" t="str">
        <x:f>IFERROR(VLOOKUP(B70&amp;"|24h",'COMMENT_RECHECK'!$V$5:$Y$204,3,FALSE),"")</x:f>
        <x:v>None</x:v>
      </x:c>
      <x:c r="AT70" s="32" t="str">
        <x:v>[SANITIZED]</x:v>
      </x:c>
      <x:c r="AU70" s="32" t="str">
        <x:v>case_account_06</x:v>
      </x:c>
      <x:c r="AV70" s="32" t="str">
        <x:v>[SANITIZED]</x:v>
      </x:c>
      <x:c r="AW70" s="32" t="str">
        <x:v>[SANITIZED]</x:v>
      </x:c>
      <x:c r="AX70" s="32" t="str">
        <x:v>[SANITIZED]</x:v>
      </x:c>
      <x:c r="AY70" s="32" t="str">
        <x:v>Manual Simulation</x:v>
      </x:c>
      <x:c r="AZ70" s="32" t="str">
        <x:v>2026-07-22 14:35</x:v>
      </x:c>
      <x:c r="BA70" s="32" t="str">
        <x:v>2026-07-22 14:35</x:v>
      </x:c>
      <x:c r="BB70" s="32" t="str">
        <x:v>Yes</x:v>
      </x:c>
      <x:c r="BC70" s="32" t="str">
        <x:v>Yes</x:v>
      </x:c>
      <x:c r="BD70" s="32" t="str"/>
      <x:c r="BE70" s="32" t="str"/>
      <x:c r="BF70" s="32" t="str">
        <x:v>No</x:v>
      </x:c>
      <x:c r="BG70" s="32" t="str">
        <x:v>No</x:v>
      </x:c>
      <x:c r="BH70" s="32" t="n">
        <x:v>0</x:v>
      </x:c>
      <x:c r="BI70" s="32" t="str">
        <x:v>24h</x:v>
      </x:c>
      <x:c r="BJ70" s="32" t="str">
        <x:f>IFERROR(VLOOKUP(B70&amp;"|24h",'COMMENT_RECHECK'!$V$5:$Y$204,4,FALSE),"Pending")</x:f>
        <x:v>No Verified User Reply</x:v>
      </x:c>
      <x:c r="BK70" s="33" t="str">
        <x:f>IF(OR(COUNTIF($B$5:$B$104,B70)&gt;1,AND(T70="Posted",BC70&lt;&gt;"Yes"),AND(OR(BJ70="Verified User Reply",BJ70="Mixed Reply"),Y70="")),"Review","OK")</x:f>
        <x:v>OK</x:v>
      </x:c>
    </x:row>
    <x:row r="71">
      <x:c r="A71" s="49" t="n">
        <x:v>46226</x:v>
      </x:c>
      <x:c r="B71" s="32" t="str">
        <x:v>IC-0067</x:v>
      </x:c>
      <x:c r="C71" s="32" t="str">
        <x:v>Account Slot 7</x:v>
      </x:c>
      <x:c r="D71" s="32" t="str">
        <x:v>Synthetic Display 7</x:v>
      </x:c>
      <x:c r="E71" s="32" t="str">
        <x:v>15:42</x:v>
      </x:c>
      <x:c r="F71" s="32" t="str">
        <x:v>creator_case_067</x:v>
      </x:c>
      <x:c r="G71" s="32" t="str">
        <x:v>Lifestyle</x:v>
      </x:c>
      <x:c r="H71" s="32" t="str">
        <x:v>https://video.invalid/case/V0067</x:v>
      </x:c>
      <x:c r="I71" s="32" t="str">
        <x:v>เสื้อเด็ก</x:v>
      </x:c>
      <x:c r="J71" s="32" t="str">
        <x:v>2026-07-20 18:00</x:v>
      </x:c>
      <x:c r="K71" s="32" t="n">
        <x:v>3442</x:v>
      </x:c>
      <x:c r="L71" s="32" t="n">
        <x:v>288</x:v>
      </x:c>
      <x:c r="M71" s="32" t="str">
        <x:v>Main comment</x:v>
      </x:c>
      <x:c r="N71" s="32" t="str">
        <x:v>Main comment</x:v>
      </x:c>
      <x:c r="O71" s="32" t="str">
        <x:v>OOTD นี้คุมความเรียบกับความเก๋ได้พอดีเลย ตัวครอบกระดุมโทนมุกแบบในรูปเข้ากับลุคคลีนและไม่ทำให้ชุดดูแน่นเกินไป</x:v>
      </x:c>
      <x:c r="P71" s="32" t="str">
        <x:v>IMG002</x:v>
      </x:c>
      <x:c r="Q71" s="32" t="str">
        <x:v>White shirt with floral fashion-button details at the collar and cuff</x:v>
      </x:c>
      <x:c r="R71" s="32" t="str">
        <x:v>Synthetic context before</x:v>
      </x:c>
      <x:c r="S71" s="32" t="str">
        <x:v>Synthetic context after</x:v>
      </x:c>
      <x:c r="T71" s="32" t="str">
        <x:v>Posted</x:v>
      </x:c>
      <x:c r="U71" s="32" t="str">
        <x:f>IFERROR(VLOOKUP(B71&amp;"|24h",'COMMENT_RECHECK'!$V$5:$Y$204,2,FALSE),"Pending")</x:f>
        <x:v>Visible</x:v>
      </x:c>
      <x:c r="V71" s="32" t="n">
        <x:v>1</x:v>
      </x:c>
      <x:c r="W71" s="32" t="str">
        <x:v>Synthetic reply preview</x:v>
      </x:c>
      <x:c r="X71" s="32" t="n">
        <x:v>0</x:v>
      </x:c>
      <x:c r="Y71" s="32" t="str">
        <x:v>EVD-SYN-0067-POST</x:v>
      </x:c>
      <x:c r="Z71" s="32" t="str"/>
      <x:c r="AA71" s="32" t="str">
        <x:v>Advanced</x:v>
      </x:c>
      <x:c r="AB71" s="32" t="str">
        <x:v>N/A</x:v>
      </x:c>
      <x:c r="AC71" s="32" t="str">
        <x:v>Styled</x:v>
      </x:c>
      <x:c r="AD71" s="32" t="str">
        <x:v>TH</x:v>
      </x:c>
      <x:c r="AE71" s="32" t="str">
        <x:v>Yes</x:v>
      </x:c>
      <x:c r="AF71" s="32" t="str">
        <x:v>Standard</x:v>
      </x:c>
      <x:c r="AG71" s="32" t="str">
        <x:v>LIB-007</x:v>
      </x:c>
      <x:c r="AH71" s="32" t="str">
        <x:v>TH</x:v>
      </x:c>
      <x:c r="AI71" s="32" t="str">
        <x:v>Main</x:v>
      </x:c>
      <x:c r="AJ71" s="32" t="str">
        <x:v>Reference</x:v>
      </x:c>
      <x:c r="AK71" s="32" t="str">
        <x:v>inputs/product_images/IMG002.png</x:v>
      </x:c>
      <x:c r="AL71" s="32" t="str"/>
      <x:c r="AM71" s="32" t="str">
        <x:v>Yes</x:v>
      </x:c>
      <x:c r="AN71" s="32" t="str">
        <x:v>Complete</x:v>
      </x:c>
      <x:c r="AO71" s="32" t="str"/>
      <x:c r="AP71" s="32" t="str">
        <x:v>No</x:v>
      </x:c>
      <x:c r="AQ71" s="32" t="str">
        <x:v>Not Started</x:v>
      </x:c>
      <x:c r="AR71" s="32" t="str">
        <x:v>Fit</x:v>
      </x:c>
      <x:c r="AS71" s="32" t="str">
        <x:f>IFERROR(VLOOKUP(B71&amp;"|24h",'COMMENT_RECHECK'!$V$5:$Y$204,3,FALSE),"")</x:f>
        <x:v>Creator</x:v>
      </x:c>
      <x:c r="AT71" s="32" t="str">
        <x:v>[SANITIZED]</x:v>
      </x:c>
      <x:c r="AU71" s="32" t="str">
        <x:v>case_account_07</x:v>
      </x:c>
      <x:c r="AV71" s="32" t="str">
        <x:v>[SANITIZED]</x:v>
      </x:c>
      <x:c r="AW71" s="32" t="str">
        <x:v>[SANITIZED]</x:v>
      </x:c>
      <x:c r="AX71" s="32" t="str">
        <x:v>[SANITIZED]</x:v>
      </x:c>
      <x:c r="AY71" s="32" t="str">
        <x:v>Manual Simulation</x:v>
      </x:c>
      <x:c r="AZ71" s="32" t="str">
        <x:v>2026-07-22 15:42</x:v>
      </x:c>
      <x:c r="BA71" s="32" t="str">
        <x:v>2026-07-22 15:42</x:v>
      </x:c>
      <x:c r="BB71" s="32" t="str">
        <x:v>Yes</x:v>
      </x:c>
      <x:c r="BC71" s="32" t="str">
        <x:v>Yes</x:v>
      </x:c>
      <x:c r="BD71" s="32" t="str"/>
      <x:c r="BE71" s="32" t="str"/>
      <x:c r="BF71" s="32" t="str">
        <x:v>No</x:v>
      </x:c>
      <x:c r="BG71" s="32" t="str">
        <x:v>No</x:v>
      </x:c>
      <x:c r="BH71" s="32" t="n">
        <x:v>0</x:v>
      </x:c>
      <x:c r="BI71" s="32" t="str">
        <x:v>24h</x:v>
      </x:c>
      <x:c r="BJ71" s="32" t="str">
        <x:f>IFERROR(VLOOKUP(B71&amp;"|24h",'COMMENT_RECHECK'!$V$5:$Y$204,4,FALSE),"Pending")</x:f>
        <x:v>No Verified User Reply</x:v>
      </x:c>
      <x:c r="BK71" s="33" t="str">
        <x:f>IF(OR(COUNTIF($B$5:$B$104,B71)&gt;1,AND(T71="Posted",BC71&lt;&gt;"Yes"),AND(OR(BJ71="Verified User Reply",BJ71="Mixed Reply"),Y71="")),"Review","OK")</x:f>
        <x:v>OK</x:v>
      </x:c>
    </x:row>
    <x:row r="72">
      <x:c r="A72" s="49" t="n">
        <x:v>46226</x:v>
      </x:c>
      <x:c r="B72" s="32" t="str">
        <x:v>IC-0068</x:v>
      </x:c>
      <x:c r="C72" s="32" t="str">
        <x:v>Account Slot 8</x:v>
      </x:c>
      <x:c r="D72" s="32" t="str">
        <x:v>Synthetic Display 8</x:v>
      </x:c>
      <x:c r="E72" s="32" t="str">
        <x:v>16:49</x:v>
      </x:c>
      <x:c r="F72" s="32" t="str">
        <x:v>creator_case_068</x:v>
      </x:c>
      <x:c r="G72" s="32" t="str">
        <x:v>Tailoring</x:v>
      </x:c>
      <x:c r="H72" s="32" t="str">
        <x:v>https://video.invalid/case/V0068</x:v>
      </x:c>
      <x:c r="I72" s="32" t="str">
        <x:v>เสื้อคลุม</x:v>
      </x:c>
      <x:c r="J72" s="32" t="str">
        <x:v>2026-07-20 18:00</x:v>
      </x:c>
      <x:c r="K72" s="32" t="n">
        <x:v>3479</x:v>
      </x:c>
      <x:c r="L72" s="32" t="n">
        <x:v>291</x:v>
      </x:c>
      <x:c r="M72" s="32" t="str">
        <x:v>Main comment</x:v>
      </x:c>
      <x:c r="N72" s="32" t="str">
        <x:v>Main comment</x:v>
      </x:c>
      <x:c r="O72" s="32" t="str">
        <x:v>ชอบที่ชุดออฟฟิศนี้ดูสบายตาแต่ยังมีสไตล์ค่ะ ถ้าเติมจุดเล็กตรงแนวกระดุมแบบในรูป เสื้อพื้นฐานน่าจะได้อีกมู้ดที่ดูตั้งใจขึ้น</x:v>
      </x:c>
      <x:c r="P72" s="32" t="str">
        <x:v>IMG002</x:v>
      </x:c>
      <x:c r="Q72" s="32" t="str">
        <x:v>White shirt with floral fashion-button details at the collar and cuff</x:v>
      </x:c>
      <x:c r="R72" s="32" t="str">
        <x:v>Synthetic context before</x:v>
      </x:c>
      <x:c r="S72" s="32" t="str">
        <x:v>Synthetic context after</x:v>
      </x:c>
      <x:c r="T72" s="32" t="str">
        <x:v>Posted</x:v>
      </x:c>
      <x:c r="U72" s="32" t="str">
        <x:f>IFERROR(VLOOKUP(B72&amp;"|24h",'COMMENT_RECHECK'!$V$5:$Y$204,2,FALSE),"Pending")</x:f>
        <x:v>Visible</x:v>
      </x:c>
      <x:c r="V72" s="32" t="n">
        <x:v>0</x:v>
      </x:c>
      <x:c r="W72" s="32" t="str"/>
      <x:c r="X72" s="32" t="n">
        <x:v>0</x:v>
      </x:c>
      <x:c r="Y72" s="32" t="str">
        <x:v>EVD-SYN-0068-POST</x:v>
      </x:c>
      <x:c r="Z72" s="32" t="str"/>
      <x:c r="AA72" s="32" t="str">
        <x:v>Advanced</x:v>
      </x:c>
      <x:c r="AB72" s="32" t="str">
        <x:v>N/A</x:v>
      </x:c>
      <x:c r="AC72" s="32" t="str">
        <x:v>Neutral</x:v>
      </x:c>
      <x:c r="AD72" s="32" t="str">
        <x:v>TH</x:v>
      </x:c>
      <x:c r="AE72" s="32" t="str">
        <x:v>Yes</x:v>
      </x:c>
      <x:c r="AF72" s="32" t="str">
        <x:v>Standard</x:v>
      </x:c>
      <x:c r="AG72" s="32" t="str">
        <x:v>LIB-008</x:v>
      </x:c>
      <x:c r="AH72" s="32" t="str">
        <x:v>TH</x:v>
      </x:c>
      <x:c r="AI72" s="32" t="str">
        <x:v>Main</x:v>
      </x:c>
      <x:c r="AJ72" s="32" t="str">
        <x:v>None</x:v>
      </x:c>
      <x:c r="AK72" s="32" t="str">
        <x:v>inputs/product_images/IMG002.png</x:v>
      </x:c>
      <x:c r="AL72" s="32" t="str"/>
      <x:c r="AM72" s="32" t="str">
        <x:v>N/A</x:v>
      </x:c>
      <x:c r="AN72" s="32" t="str">
        <x:v>N/A</x:v>
      </x:c>
      <x:c r="AO72" s="32" t="str"/>
      <x:c r="AP72" s="32" t="str">
        <x:v>No</x:v>
      </x:c>
      <x:c r="AQ72" s="32" t="str">
        <x:v>Not Started</x:v>
      </x:c>
      <x:c r="AR72" s="32" t="str">
        <x:v>N/A</x:v>
      </x:c>
      <x:c r="AS72" s="32" t="str">
        <x:f>IFERROR(VLOOKUP(B72&amp;"|24h",'COMMENT_RECHECK'!$V$5:$Y$204,3,FALSE),"")</x:f>
        <x:v>None</x:v>
      </x:c>
      <x:c r="AT72" s="32" t="str">
        <x:v>[SANITIZED]</x:v>
      </x:c>
      <x:c r="AU72" s="32" t="str">
        <x:v>case_account_08</x:v>
      </x:c>
      <x:c r="AV72" s="32" t="str">
        <x:v>[SANITIZED]</x:v>
      </x:c>
      <x:c r="AW72" s="32" t="str">
        <x:v>[SANITIZED]</x:v>
      </x:c>
      <x:c r="AX72" s="32" t="str">
        <x:v>[SANITIZED]</x:v>
      </x:c>
      <x:c r="AY72" s="32" t="str">
        <x:v>Manual Simulation</x:v>
      </x:c>
      <x:c r="AZ72" s="32" t="str">
        <x:v>2026-07-22 16:49</x:v>
      </x:c>
      <x:c r="BA72" s="32" t="str">
        <x:v>2026-07-22 16:49</x:v>
      </x:c>
      <x:c r="BB72" s="32" t="str">
        <x:v>Yes</x:v>
      </x:c>
      <x:c r="BC72" s="32" t="str">
        <x:v>Yes</x:v>
      </x:c>
      <x:c r="BD72" s="32" t="str"/>
      <x:c r="BE72" s="32" t="str"/>
      <x:c r="BF72" s="32" t="str">
        <x:v>No</x:v>
      </x:c>
      <x:c r="BG72" s="32" t="str">
        <x:v>No</x:v>
      </x:c>
      <x:c r="BH72" s="32" t="n">
        <x:v>0</x:v>
      </x:c>
      <x:c r="BI72" s="32" t="str">
        <x:v>24h</x:v>
      </x:c>
      <x:c r="BJ72" s="32" t="str">
        <x:f>IFERROR(VLOOKUP(B72&amp;"|24h",'COMMENT_RECHECK'!$V$5:$Y$204,4,FALSE),"Pending")</x:f>
        <x:v>No Verified User Reply</x:v>
      </x:c>
      <x:c r="BK72" s="33" t="str">
        <x:f>IF(OR(COUNTIF($B$5:$B$104,B72)&gt;1,AND(T72="Posted",BC72&lt;&gt;"Yes"),AND(OR(BJ72="Verified User Reply",BJ72="Mixed Reply"),Y72="")),"Review","OK")</x:f>
        <x:v>OK</x:v>
      </x:c>
    </x:row>
    <x:row r="73">
      <x:c r="A73" s="49" t="n">
        <x:v>46226</x:v>
      </x:c>
      <x:c r="B73" s="32" t="str">
        <x:v>IC-0069</x:v>
      </x:c>
      <x:c r="C73" s="32" t="str">
        <x:v>Account Slot 9</x:v>
      </x:c>
      <x:c r="D73" s="32" t="str">
        <x:v>Synthetic Display 9</x:v>
      </x:c>
      <x:c r="E73" s="32" t="str">
        <x:v>17:56</x:v>
      </x:c>
      <x:c r="F73" s="32" t="str">
        <x:v>creator_case_069</x:v>
      </x:c>
      <x:c r="G73" s="32" t="str">
        <x:v>Fashion</x:v>
      </x:c>
      <x:c r="H73" s="32" t="str">
        <x:v>https://video.invalid/case/V0069</x:v>
      </x:c>
      <x:c r="I73" s="32" t="str">
        <x:v>การจับคู่สี</x:v>
      </x:c>
      <x:c r="J73" s="32" t="str">
        <x:v>2026-07-20 18:00</x:v>
      </x:c>
      <x:c r="K73" s="32" t="n">
        <x:v>3516</x:v>
      </x:c>
      <x:c r="L73" s="32" t="n">
        <x:v>294</x:v>
      </x:c>
      <x:c r="M73" s="32" t="str">
        <x:v>Reply</x:v>
      </x:c>
      <x:c r="N73" s="32" t="str">
        <x:v>Synthetic parent</x:v>
      </x:c>
      <x:c r="O73" s="32" t="str">
        <x:v>เลเยอร์แบบนี้ทำให้ชุดดูมีมิติโดยยังสบายตาอยู่ ดีเทลคอเสื้อกับปลายแขนแบบในรูปช่วยเปลี่ยนเสื้อตัวเดิมให้ดูพิเศษขึ้นพอดี</x:v>
      </x:c>
      <x:c r="P73" s="32" t="str">
        <x:v>IMG002</x:v>
      </x:c>
      <x:c r="Q73" s="32" t="str">
        <x:v>White shirt with floral fashion-button details at the collar and cuff</x:v>
      </x:c>
      <x:c r="R73" s="32" t="str">
        <x:v>Synthetic context before</x:v>
      </x:c>
      <x:c r="S73" s="32" t="str">
        <x:v>Synthetic context after</x:v>
      </x:c>
      <x:c r="T73" s="32" t="str">
        <x:v>Posted</x:v>
      </x:c>
      <x:c r="U73" s="32" t="str">
        <x:f>IFERROR(VLOOKUP(B73&amp;"|24h",'COMMENT_RECHECK'!$V$5:$Y$204,2,FALSE),"Pending")</x:f>
        <x:v>Visible</x:v>
      </x:c>
      <x:c r="V73" s="32" t="n">
        <x:v>0</x:v>
      </x:c>
      <x:c r="W73" s="32" t="str"/>
      <x:c r="X73" s="32" t="n">
        <x:v>0</x:v>
      </x:c>
      <x:c r="Y73" s="32" t="str">
        <x:v>EVD-SYN-0069-POST</x:v>
      </x:c>
      <x:c r="Z73" s="32" t="str"/>
      <x:c r="AA73" s="32" t="str">
        <x:v>Advanced</x:v>
      </x:c>
      <x:c r="AB73" s="32" t="str">
        <x:v>N/A</x:v>
      </x:c>
      <x:c r="AC73" s="32" t="str">
        <x:v>Styled</x:v>
      </x:c>
      <x:c r="AD73" s="32" t="str">
        <x:v>TH</x:v>
      </x:c>
      <x:c r="AE73" s="32" t="str">
        <x:v>Yes</x:v>
      </x:c>
      <x:c r="AF73" s="32" t="str">
        <x:v>Standard</x:v>
      </x:c>
      <x:c r="AG73" s="32" t="str">
        <x:v>LIB-009</x:v>
      </x:c>
      <x:c r="AH73" s="32" t="str">
        <x:v>TH</x:v>
      </x:c>
      <x:c r="AI73" s="32" t="str">
        <x:v>Reply</x:v>
      </x:c>
      <x:c r="AJ73" s="32" t="str">
        <x:v>None</x:v>
      </x:c>
      <x:c r="AK73" s="32" t="str">
        <x:v>inputs/product_images/IMG002.png</x:v>
      </x:c>
      <x:c r="AL73" s="32" t="str"/>
      <x:c r="AM73" s="32" t="str">
        <x:v>N/A</x:v>
      </x:c>
      <x:c r="AN73" s="32" t="str">
        <x:v>N/A</x:v>
      </x:c>
      <x:c r="AO73" s="32" t="str"/>
      <x:c r="AP73" s="32" t="str">
        <x:v>No</x:v>
      </x:c>
      <x:c r="AQ73" s="32" t="str">
        <x:v>Not Started</x:v>
      </x:c>
      <x:c r="AR73" s="32" t="str">
        <x:v>N/A</x:v>
      </x:c>
      <x:c r="AS73" s="32" t="str">
        <x:f>IFERROR(VLOOKUP(B73&amp;"|24h",'COMMENT_RECHECK'!$V$5:$Y$204,3,FALSE),"")</x:f>
        <x:v>None</x:v>
      </x:c>
      <x:c r="AT73" s="32" t="str">
        <x:v>[SANITIZED]</x:v>
      </x:c>
      <x:c r="AU73" s="32" t="str">
        <x:v>case_account_09</x:v>
      </x:c>
      <x:c r="AV73" s="32" t="str">
        <x:v>[SANITIZED]</x:v>
      </x:c>
      <x:c r="AW73" s="32" t="str">
        <x:v>[SANITIZED]</x:v>
      </x:c>
      <x:c r="AX73" s="32" t="str">
        <x:v>[SANITIZED]</x:v>
      </x:c>
      <x:c r="AY73" s="32" t="str">
        <x:v>Manual Simulation</x:v>
      </x:c>
      <x:c r="AZ73" s="32" t="str">
        <x:v>2026-07-22 17:56</x:v>
      </x:c>
      <x:c r="BA73" s="32" t="str">
        <x:v>2026-07-22 17:56</x:v>
      </x:c>
      <x:c r="BB73" s="32" t="str">
        <x:v>Yes</x:v>
      </x:c>
      <x:c r="BC73" s="32" t="str">
        <x:v>Yes</x:v>
      </x:c>
      <x:c r="BD73" s="32" t="str"/>
      <x:c r="BE73" s="32" t="str"/>
      <x:c r="BF73" s="32" t="str">
        <x:v>No</x:v>
      </x:c>
      <x:c r="BG73" s="32" t="str">
        <x:v>No</x:v>
      </x:c>
      <x:c r="BH73" s="32" t="n">
        <x:v>0</x:v>
      </x:c>
      <x:c r="BI73" s="32" t="str">
        <x:v>24h</x:v>
      </x:c>
      <x:c r="BJ73" s="32" t="str">
        <x:f>IFERROR(VLOOKUP(B73&amp;"|24h",'COMMENT_RECHECK'!$V$5:$Y$204,4,FALSE),"Pending")</x:f>
        <x:v>No Verified User Reply</x:v>
      </x:c>
      <x:c r="BK73" s="33" t="str">
        <x:f>IF(OR(COUNTIF($B$5:$B$104,B73)&gt;1,AND(T73="Posted",BC73&lt;&gt;"Yes"),AND(OR(BJ73="Verified User Reply",BJ73="Mixed Reply"),Y73="")),"Review","OK")</x:f>
        <x:v>OK</x:v>
      </x:c>
    </x:row>
    <x:row r="74">
      <x:c r="A74" s="49" t="n">
        <x:v>46226</x:v>
      </x:c>
      <x:c r="B74" s="32" t="str">
        <x:v>IC-0070</x:v>
      </x:c>
      <x:c r="C74" s="32" t="str">
        <x:v>Account Slot 10</x:v>
      </x:c>
      <x:c r="D74" s="32" t="str">
        <x:v>Synthetic Display 10</x:v>
      </x:c>
      <x:c r="E74" s="32" t="str">
        <x:v>18:03</x:v>
      </x:c>
      <x:c r="F74" s="32" t="str">
        <x:v>creator_case_070</x:v>
      </x:c>
      <x:c r="G74" s="32" t="str">
        <x:v>DIY</x:v>
      </x:c>
      <x:c r="H74" s="32" t="str">
        <x:v>https://video.invalid/case/V0070</x:v>
      </x:c>
      <x:c r="I74" s="32" t="str">
        <x:v>รีวิวงานฝีมือ</x:v>
      </x:c>
      <x:c r="J74" s="32" t="str">
        <x:v>2026-07-20 18:00</x:v>
      </x:c>
      <x:c r="K74" s="32" t="n">
        <x:v>3553</x:v>
      </x:c>
      <x:c r="L74" s="32" t="n">
        <x:v>297</x:v>
      </x:c>
      <x:c r="M74" s="32" t="str">
        <x:v>Main comment</x:v>
      </x:c>
      <x:c r="N74" s="32" t="str">
        <x:v>Main comment</x:v>
      </x:c>
      <x:c r="O74" s="32" t="str">
        <x:v>คาร์ดิแกนลุคนี้ให้มู้ดละมุนและดูใส่สบายมากค่ะ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P74" s="32" t="str">
        <x:v>IMG004</x:v>
      </x:c>
      <x:c r="Q74" s="32" t="str">
        <x:v>Polished black blazer look with pearl and monochrome fashion-button details</x:v>
      </x:c>
      <x:c r="R74" s="32" t="str">
        <x:v>Synthetic context before</x:v>
      </x:c>
      <x:c r="S74" s="32" t="str">
        <x:v>Synthetic context after</x:v>
      </x:c>
      <x:c r="T74" s="32" t="str">
        <x:v>Posted</x:v>
      </x:c>
      <x:c r="U74" s="32" t="str">
        <x:f>IFERROR(VLOOKUP(B74&amp;"|24h",'COMMENT_RECHECK'!$V$5:$Y$204,2,FALSE),"Pending")</x:f>
        <x:v>Visible</x:v>
      </x:c>
      <x:c r="V74" s="32" t="n">
        <x:v>0</x:v>
      </x:c>
      <x:c r="W74" s="32" t="str"/>
      <x:c r="X74" s="32" t="n">
        <x:v>0</x:v>
      </x:c>
      <x:c r="Y74" s="32" t="str">
        <x:v>EVD-SYN-0070-POST</x:v>
      </x:c>
      <x:c r="Z74" s="32" t="str"/>
      <x:c r="AA74" s="32" t="str">
        <x:v>Advanced</x:v>
      </x:c>
      <x:c r="AB74" s="32" t="str">
        <x:v>N/A</x:v>
      </x:c>
      <x:c r="AC74" s="32" t="str">
        <x:v>Neutral</x:v>
      </x:c>
      <x:c r="AD74" s="32" t="str">
        <x:v>TH</x:v>
      </x:c>
      <x:c r="AE74" s="32" t="str">
        <x:v>Yes</x:v>
      </x:c>
      <x:c r="AF74" s="32" t="str">
        <x:v>Standard</x:v>
      </x:c>
      <x:c r="AG74" s="32" t="str">
        <x:v>LIB-010</x:v>
      </x:c>
      <x:c r="AH74" s="32" t="str">
        <x:v>TH</x:v>
      </x:c>
      <x:c r="AI74" s="32" t="str">
        <x:v>Main</x:v>
      </x:c>
      <x:c r="AJ74" s="32" t="str">
        <x:v>None</x:v>
      </x:c>
      <x:c r="AK74" s="32" t="str">
        <x:v>inputs/product_images/IMG004.png</x:v>
      </x:c>
      <x:c r="AL74" s="32" t="str"/>
      <x:c r="AM74" s="32" t="str">
        <x:v>N/A</x:v>
      </x:c>
      <x:c r="AN74" s="32" t="str">
        <x:v>N/A</x:v>
      </x:c>
      <x:c r="AO74" s="32" t="str"/>
      <x:c r="AP74" s="32" t="str">
        <x:v>No</x:v>
      </x:c>
      <x:c r="AQ74" s="32" t="str">
        <x:v>Not Started</x:v>
      </x:c>
      <x:c r="AR74" s="32" t="str">
        <x:v>N/A</x:v>
      </x:c>
      <x:c r="AS74" s="32" t="str">
        <x:f>IFERROR(VLOOKUP(B74&amp;"|24h",'COMMENT_RECHECK'!$V$5:$Y$204,3,FALSE),"")</x:f>
        <x:v>None</x:v>
      </x:c>
      <x:c r="AT74" s="32" t="str">
        <x:v>[SANITIZED]</x:v>
      </x:c>
      <x:c r="AU74" s="32" t="str">
        <x:v>case_account_10</x:v>
      </x:c>
      <x:c r="AV74" s="32" t="str">
        <x:v>[SANITIZED]</x:v>
      </x:c>
      <x:c r="AW74" s="32" t="str">
        <x:v>[SANITIZED]</x:v>
      </x:c>
      <x:c r="AX74" s="32" t="str">
        <x:v>[SANITIZED]</x:v>
      </x:c>
      <x:c r="AY74" s="32" t="str">
        <x:v>Manual Simulation</x:v>
      </x:c>
      <x:c r="AZ74" s="32" t="str">
        <x:v>2026-07-22 18:03</x:v>
      </x:c>
      <x:c r="BA74" s="32" t="str">
        <x:v>2026-07-22 18:03</x:v>
      </x:c>
      <x:c r="BB74" s="32" t="str">
        <x:v>Yes</x:v>
      </x:c>
      <x:c r="BC74" s="32" t="str">
        <x:v>Yes</x:v>
      </x:c>
      <x:c r="BD74" s="32" t="str"/>
      <x:c r="BE74" s="32" t="str"/>
      <x:c r="BF74" s="32" t="str">
        <x:v>No</x:v>
      </x:c>
      <x:c r="BG74" s="32" t="str">
        <x:v>No</x:v>
      </x:c>
      <x:c r="BH74" s="32" t="n">
        <x:v>0</x:v>
      </x:c>
      <x:c r="BI74" s="32" t="str">
        <x:v>24h</x:v>
      </x:c>
      <x:c r="BJ74" s="32" t="str">
        <x:f>IFERROR(VLOOKUP(B74&amp;"|24h",'COMMENT_RECHECK'!$V$5:$Y$204,4,FALSE),"Pending")</x:f>
        <x:v>No Verified User Reply</x:v>
      </x:c>
      <x:c r="BK74" s="33" t="str">
        <x:f>IF(OR(COUNTIF($B$5:$B$104,B74)&gt;1,AND(T74="Posted",BC74&lt;&gt;"Yes"),AND(OR(BJ74="Verified User Reply",BJ74="Mixed Reply"),Y74="")),"Review","OK")</x:f>
        <x:v>OK</x:v>
      </x:c>
    </x:row>
    <x:row r="75">
      <x:c r="A75" s="49" t="n">
        <x:v>46226</x:v>
      </x:c>
      <x:c r="B75" s="32" t="str">
        <x:v>IC-0071</x:v>
      </x:c>
      <x:c r="C75" s="32" t="str">
        <x:v>Account Slot 1</x:v>
      </x:c>
      <x:c r="D75" s="32" t="str">
        <x:v>Synthetic Display 1</x:v>
      </x:c>
      <x:c r="E75" s="32" t="str">
        <x:v>09:10</x:v>
      </x:c>
      <x:c r="F75" s="32" t="str">
        <x:v>creator_case_071</x:v>
      </x:c>
      <x:c r="G75" s="32" t="str">
        <x:v>Lifestyle</x:v>
      </x:c>
      <x:c r="H75" s="32" t="str">
        <x:v>https://video.invalid/case/V0071</x:v>
      </x:c>
      <x:c r="I75" s="32" t="str">
        <x:v>เสื้อเชิ้ตทำงาน</x:v>
      </x:c>
      <x:c r="J75" s="32" t="str">
        <x:v>2026-07-20 18:00</x:v>
      </x:c>
      <x:c r="K75" s="32" t="n">
        <x:v>3590</x:v>
      </x:c>
      <x:c r="L75" s="32" t="n">
        <x:v>300</x:v>
      </x:c>
      <x:c r="M75" s="32" t="str">
        <x:v>Main comment</x:v>
      </x:c>
      <x:c r="N75" s="32" t="str">
        <x:v>Main comment</x:v>
      </x:c>
      <x:c r="O75" s="32" t="str">
        <x:v>สนใจสินค้าทักแชตทันที ส่งฟรีทุกออเดอร์</x:v>
      </x:c>
      <x:c r="P75" s="32" t="str">
        <x:v>IMG002</x:v>
      </x:c>
      <x:c r="Q75" s="32" t="str">
        <x:v>White shirt with floral fashion-button details at the collar and cuff</x:v>
      </x:c>
      <x:c r="R75" s="32" t="str">
        <x:v>Synthetic context before</x:v>
      </x:c>
      <x:c r="S75" s="32" t="str">
        <x:v>Synthetic context after</x:v>
      </x:c>
      <x:c r="T75" s="32" t="str">
        <x:v>Posted</x:v>
      </x:c>
      <x:c r="U75" s="32" t="str">
        <x:f>IFERROR(VLOOKUP(B75&amp;"|24h",'COMMENT_RECHECK'!$V$5:$Y$204,2,FALSE),"Pending")</x:f>
        <x:v>Missing</x:v>
      </x:c>
      <x:c r="V75" s="32" t="n">
        <x:v>0</x:v>
      </x:c>
      <x:c r="W75" s="32" t="str"/>
      <x:c r="X75" s="32" t="n">
        <x:v>0</x:v>
      </x:c>
      <x:c r="Y75" s="32" t="str">
        <x:v>EVD-SYN-0071-POST</x:v>
      </x:c>
      <x:c r="Z75" s="32" t="str"/>
      <x:c r="AA75" s="32" t="str">
        <x:v>Advanced</x:v>
      </x:c>
      <x:c r="AB75" s="32" t="str">
        <x:v>N/A</x:v>
      </x:c>
      <x:c r="AC75" s="32" t="str">
        <x:v>Styled</x:v>
      </x:c>
      <x:c r="AD75" s="32" t="str">
        <x:v>TH</x:v>
      </x:c>
      <x:c r="AE75" s="32" t="str">
        <x:v>Yes</x:v>
      </x:c>
      <x:c r="AF75" s="32" t="str">
        <x:v>Standard</x:v>
      </x:c>
      <x:c r="AG75" s="32" t="str">
        <x:v>LIB-011</x:v>
      </x:c>
      <x:c r="AH75" s="32" t="str">
        <x:v>TH</x:v>
      </x:c>
      <x:c r="AI75" s="32" t="str">
        <x:v>Main</x:v>
      </x:c>
      <x:c r="AJ75" s="32" t="str">
        <x:v>None</x:v>
      </x:c>
      <x:c r="AK75" s="32" t="str">
        <x:v>inputs/product_images/IMG002.png</x:v>
      </x:c>
      <x:c r="AL75" s="32" t="str"/>
      <x:c r="AM75" s="32" t="str">
        <x:v>N/A</x:v>
      </x:c>
      <x:c r="AN75" s="32" t="str">
        <x:v>N/A</x:v>
      </x:c>
      <x:c r="AO75" s="32" t="str"/>
      <x:c r="AP75" s="32" t="str">
        <x:v>No</x:v>
      </x:c>
      <x:c r="AQ75" s="32" t="str">
        <x:v>Not Started</x:v>
      </x:c>
      <x:c r="AR75" s="32" t="str">
        <x:v>N/A</x:v>
      </x:c>
      <x:c r="AS75" s="32" t="str">
        <x:f>IFERROR(VLOOKUP(B75&amp;"|24h",'COMMENT_RECHECK'!$V$5:$Y$204,3,FALSE),"")</x:f>
        <x:v>None</x:v>
      </x:c>
      <x:c r="AT75" s="32" t="str">
        <x:v>[SANITIZED]</x:v>
      </x:c>
      <x:c r="AU75" s="32" t="str">
        <x:v>case_account_01</x:v>
      </x:c>
      <x:c r="AV75" s="32" t="str">
        <x:v>[SANITIZED]</x:v>
      </x:c>
      <x:c r="AW75" s="32" t="str">
        <x:v>[SANITIZED]</x:v>
      </x:c>
      <x:c r="AX75" s="32" t="str">
        <x:v>[SANITIZED]</x:v>
      </x:c>
      <x:c r="AY75" s="32" t="str">
        <x:v>Manual Simulation</x:v>
      </x:c>
      <x:c r="AZ75" s="32" t="str">
        <x:v>2026-07-22 09:10</x:v>
      </x:c>
      <x:c r="BA75" s="32" t="str">
        <x:v>2026-07-22 09:10</x:v>
      </x:c>
      <x:c r="BB75" s="32" t="str">
        <x:v>Yes</x:v>
      </x:c>
      <x:c r="BC75" s="32" t="str">
        <x:v>Yes</x:v>
      </x:c>
      <x:c r="BD75" s="32" t="str"/>
      <x:c r="BE75" s="32" t="str"/>
      <x:c r="BF75" s="32" t="str">
        <x:v>No</x:v>
      </x:c>
      <x:c r="BG75" s="32" t="str">
        <x:v>No</x:v>
      </x:c>
      <x:c r="BH75" s="32" t="n">
        <x:v>0</x:v>
      </x:c>
      <x:c r="BI75" s="32" t="str">
        <x:v>24h</x:v>
      </x:c>
      <x:c r="BJ75" s="32" t="str">
        <x:f>IFERROR(VLOOKUP(B75&amp;"|24h",'COMMENT_RECHECK'!$V$5:$Y$204,4,FALSE),"Pending")</x:f>
        <x:v>No Verified User Reply</x:v>
      </x:c>
      <x:c r="BK75" s="33" t="str">
        <x:f>IF(OR(COUNTIF($B$5:$B$104,B75)&gt;1,AND(T75="Posted",BC75&lt;&gt;"Yes"),AND(OR(BJ75="Verified User Reply",BJ75="Mixed Reply"),Y75="")),"Review","OK")</x:f>
        <x:v>OK</x:v>
      </x:c>
    </x:row>
    <x:row r="76">
      <x:c r="A76" s="49" t="n">
        <x:v>46226</x:v>
      </x:c>
      <x:c r="B76" s="32" t="str">
        <x:v>IC-0072</x:v>
      </x:c>
      <x:c r="C76" s="32" t="str">
        <x:v>Account Slot 2</x:v>
      </x:c>
      <x:c r="D76" s="32" t="str">
        <x:v>Synthetic Display 2</x:v>
      </x:c>
      <x:c r="E76" s="32" t="str">
        <x:v>10:17</x:v>
      </x:c>
      <x:c r="F76" s="32" t="str">
        <x:v>creator_case_072</x:v>
      </x:c>
      <x:c r="G76" s="32" t="str">
        <x:v>Tailoring</x:v>
      </x:c>
      <x:c r="H76" s="32" t="str">
        <x:v>https://video.invalid/case/V0072</x:v>
      </x:c>
      <x:c r="I76" s="32" t="str">
        <x:v>แจ็กเก็ตเดนิม</x:v>
      </x:c>
      <x:c r="J76" s="32" t="str">
        <x:v>2026-07-20 18:00</x:v>
      </x:c>
      <x:c r="K76" s="32" t="n">
        <x:v>3627</x:v>
      </x:c>
      <x:c r="L76" s="32" t="n">
        <x:v>303</x:v>
      </x:c>
      <x:c r="M76" s="32" t="str">
        <x:v>Main comment</x:v>
      </x:c>
      <x:c r="N76" s="32" t="str">
        <x:v>Main comment</x:v>
      </x:c>
      <x:c r="O76" s="32" t="str">
        <x:v>เป็นไอเดียแต่งตัวประจำวันที่ดูดีแบบไม่ต้องคิดเยอะค่ะ ถ้าเติมจุดเล็กตรงแนวกระดุมแบบในรูป เสื้อพื้นฐานน่าจะได้อีกมู้ดที่ดูตั้งใจขึ้น</x:v>
      </x:c>
      <x:c r="P76" s="32" t="str">
        <x:v>IMG002</x:v>
      </x:c>
      <x:c r="Q76" s="32" t="str">
        <x:v>White shirt with floral fashion-button details at the collar and cuff</x:v>
      </x:c>
      <x:c r="R76" s="32" t="str">
        <x:v>Synthetic context before</x:v>
      </x:c>
      <x:c r="S76" s="32" t="str">
        <x:v>Synthetic context after</x:v>
      </x:c>
      <x:c r="T76" s="32" t="str">
        <x:v>Posted</x:v>
      </x:c>
      <x:c r="U76" s="32" t="str">
        <x:f>IFERROR(VLOOKUP(B76&amp;"|24h",'COMMENT_RECHECK'!$V$5:$Y$204,2,FALSE),"Pending")</x:f>
        <x:v>Visible</x:v>
      </x:c>
      <x:c r="V76" s="32" t="n">
        <x:v>0</x:v>
      </x:c>
      <x:c r="W76" s="32" t="str"/>
      <x:c r="X76" s="32" t="n">
        <x:v>0</x:v>
      </x:c>
      <x:c r="Y76" s="32" t="str">
        <x:v>EVD-SYN-0072-POST</x:v>
      </x:c>
      <x:c r="Z76" s="32" t="str"/>
      <x:c r="AA76" s="32" t="str">
        <x:v>Advanced</x:v>
      </x:c>
      <x:c r="AB76" s="32" t="str">
        <x:v>N/A</x:v>
      </x:c>
      <x:c r="AC76" s="32" t="str">
        <x:v>Neutral</x:v>
      </x:c>
      <x:c r="AD76" s="32" t="str">
        <x:v>TH</x:v>
      </x:c>
      <x:c r="AE76" s="32" t="str">
        <x:v>Yes</x:v>
      </x:c>
      <x:c r="AF76" s="32" t="str">
        <x:v>Standard</x:v>
      </x:c>
      <x:c r="AG76" s="32" t="str">
        <x:v>LIB-012</x:v>
      </x:c>
      <x:c r="AH76" s="32" t="str">
        <x:v>TH</x:v>
      </x:c>
      <x:c r="AI76" s="32" t="str">
        <x:v>Main</x:v>
      </x:c>
      <x:c r="AJ76" s="32" t="str">
        <x:v>None</x:v>
      </x:c>
      <x:c r="AK76" s="32" t="str">
        <x:v>inputs/product_images/IMG002.png</x:v>
      </x:c>
      <x:c r="AL76" s="32" t="str"/>
      <x:c r="AM76" s="32" t="str">
        <x:v>N/A</x:v>
      </x:c>
      <x:c r="AN76" s="32" t="str">
        <x:v>N/A</x:v>
      </x:c>
      <x:c r="AO76" s="32" t="str"/>
      <x:c r="AP76" s="32" t="str">
        <x:v>No</x:v>
      </x:c>
      <x:c r="AQ76" s="32" t="str">
        <x:v>Not Started</x:v>
      </x:c>
      <x:c r="AR76" s="32" t="str">
        <x:v>N/A</x:v>
      </x:c>
      <x:c r="AS76" s="32" t="str">
        <x:f>IFERROR(VLOOKUP(B76&amp;"|24h",'COMMENT_RECHECK'!$V$5:$Y$204,3,FALSE),"")</x:f>
        <x:v>None</x:v>
      </x:c>
      <x:c r="AT76" s="32" t="str">
        <x:v>[SANITIZED]</x:v>
      </x:c>
      <x:c r="AU76" s="32" t="str">
        <x:v>case_account_02</x:v>
      </x:c>
      <x:c r="AV76" s="32" t="str">
        <x:v>[SANITIZED]</x:v>
      </x:c>
      <x:c r="AW76" s="32" t="str">
        <x:v>[SANITIZED]</x:v>
      </x:c>
      <x:c r="AX76" s="32" t="str">
        <x:v>[SANITIZED]</x:v>
      </x:c>
      <x:c r="AY76" s="32" t="str">
        <x:v>Manual Simulation</x:v>
      </x:c>
      <x:c r="AZ76" s="32" t="str">
        <x:v>2026-07-22 10:17</x:v>
      </x:c>
      <x:c r="BA76" s="32" t="str">
        <x:v>2026-07-22 10:17</x:v>
      </x:c>
      <x:c r="BB76" s="32" t="str">
        <x:v>Yes</x:v>
      </x:c>
      <x:c r="BC76" s="32" t="str">
        <x:v>Yes</x:v>
      </x:c>
      <x:c r="BD76" s="32" t="str"/>
      <x:c r="BE76" s="32" t="str"/>
      <x:c r="BF76" s="32" t="str">
        <x:v>No</x:v>
      </x:c>
      <x:c r="BG76" s="32" t="str">
        <x:v>No</x:v>
      </x:c>
      <x:c r="BH76" s="32" t="n">
        <x:v>0</x:v>
      </x:c>
      <x:c r="BI76" s="32" t="str">
        <x:v>24h</x:v>
      </x:c>
      <x:c r="BJ76" s="32" t="str">
        <x:f>IFERROR(VLOOKUP(B76&amp;"|24h",'COMMENT_RECHECK'!$V$5:$Y$204,4,FALSE),"Pending")</x:f>
        <x:v>No Verified User Reply</x:v>
      </x:c>
      <x:c r="BK76" s="33" t="str">
        <x:f>IF(OR(COUNTIF($B$5:$B$104,B76)&gt;1,AND(T76="Posted",BC76&lt;&gt;"Yes"),AND(OR(BJ76="Verified User Reply",BJ76="Mixed Reply"),Y76="")),"Review","OK")</x:f>
        <x:v>OK</x:v>
      </x:c>
    </x:row>
    <x:row r="77">
      <x:c r="A77" s="49" t="n">
        <x:v>46226</x:v>
      </x:c>
      <x:c r="B77" s="32" t="str">
        <x:v>IC-0073</x:v>
      </x:c>
      <x:c r="C77" s="32" t="str">
        <x:v>Account Slot 3</x:v>
      </x:c>
      <x:c r="D77" s="32" t="str">
        <x:v>Synthetic Display 3</x:v>
      </x:c>
      <x:c r="E77" s="32" t="str">
        <x:v>11:24</x:v>
      </x:c>
      <x:c r="F77" s="32" t="str">
        <x:v>creator_case_073</x:v>
      </x:c>
      <x:c r="G77" s="32" t="str">
        <x:v>Fashion</x:v>
      </x:c>
      <x:c r="H77" s="32" t="str">
        <x:v>https://video.invalid/case/V0073</x:v>
      </x:c>
      <x:c r="I77" s="32" t="str">
        <x:v>เดรสออกงาน</x:v>
      </x:c>
      <x:c r="J77" s="32" t="str">
        <x:v>2026-07-20 18:00</x:v>
      </x:c>
      <x:c r="K77" s="32" t="n">
        <x:v>3664</x:v>
      </x:c>
      <x:c r="L77" s="32" t="n">
        <x:v>306</x:v>
      </x:c>
      <x:c r="M77" s="32" t="str">
        <x:v>Reply</x:v>
      </x:c>
      <x:c r="N77" s="32" t="str">
        <x:v>Synthetic parent</x:v>
      </x:c>
      <x:c r="O77" s="32" t="str">
        <x:v>ชุดนี้แต่งตามง่ายและเหมาะกับหลายโอกาสจริงค่ะ ลูกเล่นตรงแนวกระดุมแบบในรูปเพิ่มความหวานให้ลุคโดยยังดูสุภาพอยู่ค่ะ</x:v>
      </x:c>
      <x:c r="P77" s="32" t="str">
        <x:v>IMG002</x:v>
      </x:c>
      <x:c r="Q77" s="32" t="str">
        <x:v>White shirt with floral fashion-button details at the collar and cuff</x:v>
      </x:c>
      <x:c r="R77" s="32" t="str">
        <x:v>Synthetic context before</x:v>
      </x:c>
      <x:c r="S77" s="32" t="str">
        <x:v>Synthetic context after</x:v>
      </x:c>
      <x:c r="T77" s="32" t="str">
        <x:v>Posted</x:v>
      </x:c>
      <x:c r="U77" s="32" t="str">
        <x:v>Visible</x:v>
      </x:c>
      <x:c r="V77" s="32" t="n">
        <x:v>0</x:v>
      </x:c>
      <x:c r="W77" s="32" t="str"/>
      <x:c r="X77" s="32" t="n">
        <x:v>0</x:v>
      </x:c>
      <x:c r="Y77" s="32" t="str">
        <x:v>EVD-SYN-0073-POST</x:v>
      </x:c>
      <x:c r="Z77" s="32" t="str"/>
      <x:c r="AA77" s="32" t="str">
        <x:v>Advanced</x:v>
      </x:c>
      <x:c r="AB77" s="32" t="str">
        <x:v>N/A</x:v>
      </x:c>
      <x:c r="AC77" s="32" t="str">
        <x:v>Styled</x:v>
      </x:c>
      <x:c r="AD77" s="32" t="str">
        <x:v>TH</x:v>
      </x:c>
      <x:c r="AE77" s="32" t="str">
        <x:v>Yes</x:v>
      </x:c>
      <x:c r="AF77" s="32" t="str">
        <x:v>Standard</x:v>
      </x:c>
      <x:c r="AG77" s="32" t="str">
        <x:v>LIB-013</x:v>
      </x:c>
      <x:c r="AH77" s="32" t="str">
        <x:v>TH</x:v>
      </x:c>
      <x:c r="AI77" s="32" t="str">
        <x:v>Reply</x:v>
      </x:c>
      <x:c r="AJ77" s="32" t="str">
        <x:v>Reference</x:v>
      </x:c>
      <x:c r="AK77" s="32" t="str">
        <x:v>inputs/product_images/IMG002.png</x:v>
      </x:c>
      <x:c r="AL77" s="32" t="str"/>
      <x:c r="AM77" s="32" t="str">
        <x:v>Yes</x:v>
      </x:c>
      <x:c r="AN77" s="32" t="str">
        <x:v>Complete</x:v>
      </x:c>
      <x:c r="AO77" s="32" t="str"/>
      <x:c r="AP77" s="32" t="str">
        <x:v>No</x:v>
      </x:c>
      <x:c r="AQ77" s="32" t="str">
        <x:v>Not Started</x:v>
      </x:c>
      <x:c r="AR77" s="32" t="str">
        <x:v>Fit</x:v>
      </x:c>
      <x:c r="AS77" s="32" t="str">
        <x:f>IFERROR(VLOOKUP(B77&amp;"|24h",'COMMENT_RECHECK'!$V$5:$Y$204,3,FALSE),"")</x:f>
        <x:v>None</x:v>
      </x:c>
      <x:c r="AT77" s="32" t="str">
        <x:v>[SANITIZED]</x:v>
      </x:c>
      <x:c r="AU77" s="32" t="str">
        <x:v>case_account_03</x:v>
      </x:c>
      <x:c r="AV77" s="32" t="str">
        <x:v>[SANITIZED]</x:v>
      </x:c>
      <x:c r="AW77" s="32" t="str">
        <x:v>[SANITIZED]</x:v>
      </x:c>
      <x:c r="AX77" s="32" t="str">
        <x:v>[SANITIZED]</x:v>
      </x:c>
      <x:c r="AY77" s="32" t="str">
        <x:v>Manual Simulation</x:v>
      </x:c>
      <x:c r="AZ77" s="32" t="str">
        <x:v>2026-07-22 11:24</x:v>
      </x:c>
      <x:c r="BA77" s="32" t="str">
        <x:v>2026-07-22 11:24</x:v>
      </x:c>
      <x:c r="BB77" s="32" t="str">
        <x:v>Yes</x:v>
      </x:c>
      <x:c r="BC77" s="32" t="str">
        <x:v>Yes</x:v>
      </x:c>
      <x:c r="BD77" s="32" t="str"/>
      <x:c r="BE77" s="32" t="str"/>
      <x:c r="BF77" s="32" t="str">
        <x:v>No</x:v>
      </x:c>
      <x:c r="BG77" s="32" t="str">
        <x:v>No</x:v>
      </x:c>
      <x:c r="BH77" s="32" t="n">
        <x:v>0</x:v>
      </x:c>
      <x:c r="BI77" s="32" t="str">
        <x:v>24h</x:v>
      </x:c>
      <x:c r="BJ77" s="32" t="str">
        <x:v>Verified User Reply</x:v>
      </x:c>
      <x:c r="BK77" s="33" t="str">
        <x:f>IF(OR(COUNTIF($B$5:$B$104,B77)&gt;1,AND(T77="Posted",BC77&lt;&gt;"Yes"),AND(OR(BJ77="Verified User Reply",BJ77="Mixed Reply"),Y77="")),"Review","OK")</x:f>
        <x:v>OK</x:v>
      </x:c>
    </x:row>
    <x:row r="78">
      <x:c r="A78" s="49" t="n">
        <x:v>46226</x:v>
      </x:c>
      <x:c r="B78" s="32" t="str">
        <x:v>IC-0074</x:v>
      </x:c>
      <x:c r="C78" s="32" t="str">
        <x:v>Account Slot 4</x:v>
      </x:c>
      <x:c r="D78" s="32" t="str">
        <x:v>Synthetic Display 4</x:v>
      </x:c>
      <x:c r="E78" s="32" t="str">
        <x:v>12:31</x:v>
      </x:c>
      <x:c r="F78" s="32" t="str">
        <x:v>creator_case_074</x:v>
      </x:c>
      <x:c r="G78" s="32" t="str">
        <x:v>DIY</x:v>
      </x:c>
      <x:c r="H78" s="32" t="str">
        <x:v>https://video.invalid/case/V0074</x:v>
      </x:c>
      <x:c r="I78" s="32" t="str">
        <x:v>งานเย็บ DIY</x:v>
      </x:c>
      <x:c r="J78" s="32" t="str">
        <x:v>2026-07-20 18:00</x:v>
      </x:c>
      <x:c r="K78" s="32" t="n">
        <x:v>3701</x:v>
      </x:c>
      <x:c r="L78" s="32" t="n">
        <x:v>309</x:v>
      </x:c>
      <x:c r="M78" s="32" t="str">
        <x:v>Main comment</x:v>
      </x:c>
      <x:c r="N78" s="32" t="str">
        <x:v>Main comment</x:v>
      </x:c>
      <x:c r="O78" s="32" t="str">
        <x:v>เสื้อคลุมทรงนี้ช่วยให้ชุดดูนุ่มนวลขึ้นพอดีเลย ลองใช้ดีเทลตรงคอกับข้อมือแบบในรูปดูค่ะ น่าจะช่วยให้ทั้งลุคคอมพลีตขึ้นมาก</x:v>
      </x:c>
      <x:c r="P78" s="32" t="str">
        <x:v>IMG002</x:v>
      </x:c>
      <x:c r="Q78" s="32" t="str">
        <x:v>White shirt with floral fashion-button details at the collar and cuff</x:v>
      </x:c>
      <x:c r="R78" s="32" t="str">
        <x:v>Synthetic context before</x:v>
      </x:c>
      <x:c r="S78" s="32" t="str">
        <x:v>Synthetic context after</x:v>
      </x:c>
      <x:c r="T78" s="32" t="str">
        <x:v>Posted</x:v>
      </x:c>
      <x:c r="U78" s="32" t="str">
        <x:f>IFERROR(VLOOKUP(B78&amp;"|24h",'COMMENT_RECHECK'!$V$5:$Y$204,2,FALSE),"Pending")</x:f>
        <x:v>Visible</x:v>
      </x:c>
      <x:c r="V78" s="32" t="n">
        <x:v>0</x:v>
      </x:c>
      <x:c r="W78" s="32" t="str"/>
      <x:c r="X78" s="32" t="n">
        <x:v>0</x:v>
      </x:c>
      <x:c r="Y78" s="32" t="str">
        <x:v>EVD-SYN-0074-POST</x:v>
      </x:c>
      <x:c r="Z78" s="32" t="str"/>
      <x:c r="AA78" s="32" t="str">
        <x:v>Advanced</x:v>
      </x:c>
      <x:c r="AB78" s="32" t="str">
        <x:v>N/A</x:v>
      </x:c>
      <x:c r="AC78" s="32" t="str">
        <x:v>Neutral</x:v>
      </x:c>
      <x:c r="AD78" s="32" t="str">
        <x:v>TH</x:v>
      </x:c>
      <x:c r="AE78" s="32" t="str">
        <x:v>Yes</x:v>
      </x:c>
      <x:c r="AF78" s="32" t="str">
        <x:v>Standard</x:v>
      </x:c>
      <x:c r="AG78" s="32" t="str">
        <x:v>LIB-014</x:v>
      </x:c>
      <x:c r="AH78" s="32" t="str">
        <x:v>TH</x:v>
      </x:c>
      <x:c r="AI78" s="32" t="str">
        <x:v>Main</x:v>
      </x:c>
      <x:c r="AJ78" s="32" t="str">
        <x:v>None</x:v>
      </x:c>
      <x:c r="AK78" s="32" t="str">
        <x:v>inputs/product_images/IMG002.png</x:v>
      </x:c>
      <x:c r="AL78" s="32" t="str"/>
      <x:c r="AM78" s="32" t="str">
        <x:v>N/A</x:v>
      </x:c>
      <x:c r="AN78" s="32" t="str">
        <x:v>N/A</x:v>
      </x:c>
      <x:c r="AO78" s="32" t="str"/>
      <x:c r="AP78" s="32" t="str">
        <x:v>No</x:v>
      </x:c>
      <x:c r="AQ78" s="32" t="str">
        <x:v>Not Started</x:v>
      </x:c>
      <x:c r="AR78" s="32" t="str">
        <x:v>N/A</x:v>
      </x:c>
      <x:c r="AS78" s="32" t="str">
        <x:f>IFERROR(VLOOKUP(B78&amp;"|24h",'COMMENT_RECHECK'!$V$5:$Y$204,3,FALSE),"")</x:f>
        <x:v>None</x:v>
      </x:c>
      <x:c r="AT78" s="32" t="str">
        <x:v>[SANITIZED]</x:v>
      </x:c>
      <x:c r="AU78" s="32" t="str">
        <x:v>case_account_04</x:v>
      </x:c>
      <x:c r="AV78" s="32" t="str">
        <x:v>[SANITIZED]</x:v>
      </x:c>
      <x:c r="AW78" s="32" t="str">
        <x:v>[SANITIZED]</x:v>
      </x:c>
      <x:c r="AX78" s="32" t="str">
        <x:v>[SANITIZED]</x:v>
      </x:c>
      <x:c r="AY78" s="32" t="str">
        <x:v>Manual Simulation</x:v>
      </x:c>
      <x:c r="AZ78" s="32" t="str">
        <x:v>2026-07-22 12:31</x:v>
      </x:c>
      <x:c r="BA78" s="32" t="str">
        <x:v>2026-07-22 12:31</x:v>
      </x:c>
      <x:c r="BB78" s="32" t="str">
        <x:v>Yes</x:v>
      </x:c>
      <x:c r="BC78" s="32" t="str">
        <x:v>Yes</x:v>
      </x:c>
      <x:c r="BD78" s="32" t="str"/>
      <x:c r="BE78" s="32" t="str"/>
      <x:c r="BF78" s="32" t="str">
        <x:v>No</x:v>
      </x:c>
      <x:c r="BG78" s="32" t="str">
        <x:v>No</x:v>
      </x:c>
      <x:c r="BH78" s="32" t="n">
        <x:v>0</x:v>
      </x:c>
      <x:c r="BI78" s="32" t="str">
        <x:v>24h</x:v>
      </x:c>
      <x:c r="BJ78" s="32" t="str">
        <x:f>IFERROR(VLOOKUP(B78&amp;"|24h",'COMMENT_RECHECK'!$V$5:$Y$204,4,FALSE),"Pending")</x:f>
        <x:v>No Verified User Reply</x:v>
      </x:c>
      <x:c r="BK78" s="33" t="str">
        <x:f>IF(OR(COUNTIF($B$5:$B$104,B78)&gt;1,AND(T78="Posted",BC78&lt;&gt;"Yes"),AND(OR(BJ78="Verified User Reply",BJ78="Mixed Reply"),Y78="")),"Review","OK")</x:f>
        <x:v>OK</x:v>
      </x:c>
    </x:row>
    <x:row r="79">
      <x:c r="A79" s="49" t="n">
        <x:v>46226</x:v>
      </x:c>
      <x:c r="B79" s="32" t="str">
        <x:v>IC-0075</x:v>
      </x:c>
      <x:c r="C79" s="32" t="str">
        <x:v>Account Slot 5</x:v>
      </x:c>
      <x:c r="D79" s="32" t="str">
        <x:v>Synthetic Display 5</x:v>
      </x:c>
      <x:c r="E79" s="32" t="str">
        <x:v>13:38</x:v>
      </x:c>
      <x:c r="F79" s="32" t="str">
        <x:v>creator_case_075</x:v>
      </x:c>
      <x:c r="G79" s="32" t="str">
        <x:v>Lifestyle</x:v>
      </x:c>
      <x:c r="H79" s="32" t="str">
        <x:v>https://video.invalid/case/V0075</x:v>
      </x:c>
      <x:c r="I79" s="32" t="str">
        <x:v>การซ่อมเสื้อ</x:v>
      </x:c>
      <x:c r="J79" s="32" t="str">
        <x:v>2026-07-20 18:00</x:v>
      </x:c>
      <x:c r="K79" s="32" t="n">
        <x:v>3738</x:v>
      </x:c>
      <x:c r="L79" s="32" t="n">
        <x:v>312</x:v>
      </x:c>
      <x:c r="M79" s="32" t="str">
        <x:v>Main comment</x:v>
      </x:c>
      <x:c r="N79" s="32" t="str">
        <x:v>Main comment</x:v>
      </x:c>
      <x:c r="O79" s="32" t="str">
        <x:v>คอเสื้อแบบนี้ช่วยให้ outfit ดูชัดโดยไม่ต้องแต่งเยอะค่ะ รายละเอียดเล็กตรงกระดุมแบบในรูปช่วยดึงสายตาให้ช่วงบนดูมีมิติมากขึ้นค่ะ</x:v>
      </x:c>
      <x:c r="P79" s="32" t="str">
        <x:v>IMG002</x:v>
      </x:c>
      <x:c r="Q79" s="32" t="str">
        <x:v>White shirt with floral fashion-button details at the collar and cuff</x:v>
      </x:c>
      <x:c r="R79" s="32" t="str">
        <x:v>Synthetic context before</x:v>
      </x:c>
      <x:c r="S79" s="32" t="str">
        <x:v>Synthetic context after</x:v>
      </x:c>
      <x:c r="T79" s="32" t="str">
        <x:v>Posted</x:v>
      </x:c>
      <x:c r="U79" s="32" t="str">
        <x:f>IFERROR(VLOOKUP(B79&amp;"|24h",'COMMENT_RECHECK'!$V$5:$Y$204,2,FALSE),"Pending")</x:f>
        <x:v>Visible</x:v>
      </x:c>
      <x:c r="V79" s="32" t="n">
        <x:v>0</x:v>
      </x:c>
      <x:c r="W79" s="32" t="str"/>
      <x:c r="X79" s="32" t="n">
        <x:v>0</x:v>
      </x:c>
      <x:c r="Y79" s="32" t="str">
        <x:v>EVD-SYN-0075-POST</x:v>
      </x:c>
      <x:c r="Z79" s="32" t="str"/>
      <x:c r="AA79" s="32" t="str">
        <x:v>Advanced</x:v>
      </x:c>
      <x:c r="AB79" s="32" t="str">
        <x:v>N/A</x:v>
      </x:c>
      <x:c r="AC79" s="32" t="str">
        <x:v>Styled</x:v>
      </x:c>
      <x:c r="AD79" s="32" t="str">
        <x:v>TH</x:v>
      </x:c>
      <x:c r="AE79" s="32" t="str">
        <x:v>Yes</x:v>
      </x:c>
      <x:c r="AF79" s="32" t="str">
        <x:v>Standard</x:v>
      </x:c>
      <x:c r="AG79" s="32" t="str">
        <x:v>LIB-015</x:v>
      </x:c>
      <x:c r="AH79" s="32" t="str">
        <x:v>TH</x:v>
      </x:c>
      <x:c r="AI79" s="32" t="str">
        <x:v>Main</x:v>
      </x:c>
      <x:c r="AJ79" s="32" t="str">
        <x:v>None</x:v>
      </x:c>
      <x:c r="AK79" s="32" t="str">
        <x:v>inputs/product_images/IMG002.png</x:v>
      </x:c>
      <x:c r="AL79" s="32" t="str"/>
      <x:c r="AM79" s="32" t="str">
        <x:v>N/A</x:v>
      </x:c>
      <x:c r="AN79" s="32" t="str">
        <x:v>N/A</x:v>
      </x:c>
      <x:c r="AO79" s="32" t="str"/>
      <x:c r="AP79" s="32" t="str">
        <x:v>No</x:v>
      </x:c>
      <x:c r="AQ79" s="32" t="str">
        <x:v>Not Started</x:v>
      </x:c>
      <x:c r="AR79" s="32" t="str">
        <x:v>N/A</x:v>
      </x:c>
      <x:c r="AS79" s="32" t="str">
        <x:f>IFERROR(VLOOKUP(B79&amp;"|24h",'COMMENT_RECHECK'!$V$5:$Y$204,3,FALSE),"")</x:f>
        <x:v>None</x:v>
      </x:c>
      <x:c r="AT79" s="32" t="str">
        <x:v>[SANITIZED]</x:v>
      </x:c>
      <x:c r="AU79" s="32" t="str">
        <x:v>case_account_05</x:v>
      </x:c>
      <x:c r="AV79" s="32" t="str">
        <x:v>[SANITIZED]</x:v>
      </x:c>
      <x:c r="AW79" s="32" t="str">
        <x:v>[SANITIZED]</x:v>
      </x:c>
      <x:c r="AX79" s="32" t="str">
        <x:v>[SANITIZED]</x:v>
      </x:c>
      <x:c r="AY79" s="32" t="str">
        <x:v>Manual Simulation</x:v>
      </x:c>
      <x:c r="AZ79" s="32" t="str">
        <x:v>2026-07-22 13:38</x:v>
      </x:c>
      <x:c r="BA79" s="32" t="str">
        <x:v>2026-07-22 13:38</x:v>
      </x:c>
      <x:c r="BB79" s="32" t="str">
        <x:v>Yes</x:v>
      </x:c>
      <x:c r="BC79" s="32" t="str">
        <x:v>Yes</x:v>
      </x:c>
      <x:c r="BD79" s="32" t="str"/>
      <x:c r="BE79" s="32" t="str"/>
      <x:c r="BF79" s="32" t="str">
        <x:v>No</x:v>
      </x:c>
      <x:c r="BG79" s="32" t="str">
        <x:v>No</x:v>
      </x:c>
      <x:c r="BH79" s="32" t="n">
        <x:v>0</x:v>
      </x:c>
      <x:c r="BI79" s="32" t="str">
        <x:v>24h</x:v>
      </x:c>
      <x:c r="BJ79" s="32" t="str">
        <x:f>IFERROR(VLOOKUP(B79&amp;"|24h",'COMMENT_RECHECK'!$V$5:$Y$204,4,FALSE),"Pending")</x:f>
        <x:v>No Verified User Reply</x:v>
      </x:c>
      <x:c r="BK79" s="33" t="str">
        <x:f>IF(OR(COUNTIF($B$5:$B$104,B79)&gt;1,AND(T79="Posted",BC79&lt;&gt;"Yes"),AND(OR(BJ79="Verified User Reply",BJ79="Mixed Reply"),Y79="")),"Review","OK")</x:f>
        <x:v>OK</x:v>
      </x:c>
    </x:row>
    <x:row r="80">
      <x:c r="A80" s="49" t="n">
        <x:v>46227</x:v>
      </x:c>
      <x:c r="B80" s="32" t="str">
        <x:v>IC-0076</x:v>
      </x:c>
      <x:c r="C80" s="32" t="str">
        <x:v>Account Slot 6</x:v>
      </x:c>
      <x:c r="D80" s="32" t="str">
        <x:v>Synthetic Display 6</x:v>
      </x:c>
      <x:c r="E80" s="32" t="str">
        <x:v>14:45</x:v>
      </x:c>
      <x:c r="F80" s="32" t="str">
        <x:v>creator_case_076</x:v>
      </x:c>
      <x:c r="G80" s="32" t="str">
        <x:v>Tailoring</x:v>
      </x:c>
      <x:c r="H80" s="32" t="str">
        <x:v>https://video.invalid/case/V0076</x:v>
      </x:c>
      <x:c r="I80" s="32" t="str">
        <x:v>แฟชั่นวินเทจ</x:v>
      </x:c>
      <x:c r="J80" s="32" t="str">
        <x:v>2026-07-20 18:00</x:v>
      </x:c>
      <x:c r="K80" s="32" t="n">
        <x:v>3775</x:v>
      </x:c>
      <x:c r="L80" s="32" t="n">
        <x:v>315</x:v>
      </x:c>
      <x:c r="M80" s="32" t="str">
        <x:v>Main comment</x:v>
      </x:c>
      <x:c r="N80" s="32" t="str">
        <x:v>Main comment</x:v>
      </x:c>
      <x:c r="O80" s="32" t="str">
        <x:v>OOTD นี้คุมความเรียบกับความเก๋ได้พอดีเลย ถ้าเล่นลูกเล่นกระดุมดอกไม้เล็ก ๆ แบบในรูป ช่วงบนของลุคน่าจะเด่นขึ้นพอดีค่ะ</x:v>
      </x:c>
      <x:c r="P80" s="32" t="str">
        <x:v>IMG002</x:v>
      </x:c>
      <x:c r="Q80" s="32" t="str">
        <x:v>White shirt with floral fashion-button details at the collar and cuff</x:v>
      </x:c>
      <x:c r="R80" s="32" t="str">
        <x:v>Synthetic context before</x:v>
      </x:c>
      <x:c r="S80" s="32" t="str">
        <x:v>Synthetic context after</x:v>
      </x:c>
      <x:c r="T80" s="32" t="str">
        <x:v>Posted</x:v>
      </x:c>
      <x:c r="U80" s="32" t="str">
        <x:f>IFERROR(VLOOKUP(B80&amp;"|24h",'COMMENT_RECHECK'!$V$5:$Y$204,2,FALSE),"Pending")</x:f>
        <x:v>Missing</x:v>
      </x:c>
      <x:c r="V80" s="32" t="n">
        <x:v>0</x:v>
      </x:c>
      <x:c r="W80" s="32" t="str"/>
      <x:c r="X80" s="32" t="n">
        <x:v>0</x:v>
      </x:c>
      <x:c r="Y80" s="32" t="str">
        <x:v>EVD-SYN-0076-POST</x:v>
      </x:c>
      <x:c r="Z80" s="32" t="str"/>
      <x:c r="AA80" s="32" t="str">
        <x:v>Advanced</x:v>
      </x:c>
      <x:c r="AB80" s="32" t="str">
        <x:v>N/A</x:v>
      </x:c>
      <x:c r="AC80" s="32" t="str">
        <x:v>Neutral</x:v>
      </x:c>
      <x:c r="AD80" s="32" t="str">
        <x:v>TH</x:v>
      </x:c>
      <x:c r="AE80" s="32" t="str">
        <x:v>Yes</x:v>
      </x:c>
      <x:c r="AF80" s="32" t="str">
        <x:v>Standard</x:v>
      </x:c>
      <x:c r="AG80" s="32" t="str">
        <x:v>LIB-016</x:v>
      </x:c>
      <x:c r="AH80" s="32" t="str">
        <x:v>TH</x:v>
      </x:c>
      <x:c r="AI80" s="32" t="str">
        <x:v>Main</x:v>
      </x:c>
      <x:c r="AJ80" s="32" t="str">
        <x:v>None</x:v>
      </x:c>
      <x:c r="AK80" s="32" t="str">
        <x:v>inputs/product_images/IMG002.png</x:v>
      </x:c>
      <x:c r="AL80" s="32" t="str"/>
      <x:c r="AM80" s="32" t="str">
        <x:v>N/A</x:v>
      </x:c>
      <x:c r="AN80" s="32" t="str">
        <x:v>N/A</x:v>
      </x:c>
      <x:c r="AO80" s="32" t="str"/>
      <x:c r="AP80" s="32" t="str">
        <x:v>No</x:v>
      </x:c>
      <x:c r="AQ80" s="32" t="str">
        <x:v>Not Started</x:v>
      </x:c>
      <x:c r="AR80" s="32" t="str">
        <x:v>N/A</x:v>
      </x:c>
      <x:c r="AS80" s="32" t="str">
        <x:f>IFERROR(VLOOKUP(B80&amp;"|24h",'COMMENT_RECHECK'!$V$5:$Y$204,3,FALSE),"")</x:f>
        <x:v>None</x:v>
      </x:c>
      <x:c r="AT80" s="32" t="str">
        <x:v>[SANITIZED]</x:v>
      </x:c>
      <x:c r="AU80" s="32" t="str">
        <x:v>case_account_06</x:v>
      </x:c>
      <x:c r="AV80" s="32" t="str">
        <x:v>[SANITIZED]</x:v>
      </x:c>
      <x:c r="AW80" s="32" t="str">
        <x:v>[SANITIZED]</x:v>
      </x:c>
      <x:c r="AX80" s="32" t="str">
        <x:v>[SANITIZED]</x:v>
      </x:c>
      <x:c r="AY80" s="32" t="str">
        <x:v>Manual Simulation</x:v>
      </x:c>
      <x:c r="AZ80" s="32" t="str">
        <x:v>2026-07-23 14:45</x:v>
      </x:c>
      <x:c r="BA80" s="32" t="str">
        <x:v>2026-07-23 14:45</x:v>
      </x:c>
      <x:c r="BB80" s="32" t="str">
        <x:v>Yes</x:v>
      </x:c>
      <x:c r="BC80" s="32" t="str">
        <x:v>Yes</x:v>
      </x:c>
      <x:c r="BD80" s="32" t="str"/>
      <x:c r="BE80" s="32" t="str"/>
      <x:c r="BF80" s="32" t="str">
        <x:v>No</x:v>
      </x:c>
      <x:c r="BG80" s="32" t="str">
        <x:v>No</x:v>
      </x:c>
      <x:c r="BH80" s="32" t="n">
        <x:v>0</x:v>
      </x:c>
      <x:c r="BI80" s="32" t="str">
        <x:v>24h</x:v>
      </x:c>
      <x:c r="BJ80" s="32" t="str">
        <x:f>IFERROR(VLOOKUP(B80&amp;"|24h",'COMMENT_RECHECK'!$V$5:$Y$204,4,FALSE),"Pending")</x:f>
        <x:v>No Verified User Reply</x:v>
      </x:c>
      <x:c r="BK80" s="33" t="str">
        <x:f>IF(OR(COUNTIF($B$5:$B$104,B80)&gt;1,AND(T80="Posted",BC80&lt;&gt;"Yes"),AND(OR(BJ80="Verified User Reply",BJ80="Mixed Reply"),Y80="")),"Review","OK")</x:f>
        <x:v>OK</x:v>
      </x:c>
    </x:row>
    <x:row r="81">
      <x:c r="A81" s="49" t="n">
        <x:v>46227</x:v>
      </x:c>
      <x:c r="B81" s="32" t="str">
        <x:v>IC-0077</x:v>
      </x:c>
      <x:c r="C81" s="32" t="str">
        <x:v>Account Slot 7</x:v>
      </x:c>
      <x:c r="D81" s="32" t="str">
        <x:v>Synthetic Display 7</x:v>
      </x:c>
      <x:c r="E81" s="32" t="str">
        <x:v>15:52</x:v>
      </x:c>
      <x:c r="F81" s="32" t="str">
        <x:v>creator_case_077</x:v>
      </x:c>
      <x:c r="G81" s="32" t="str">
        <x:v>Fashion</x:v>
      </x:c>
      <x:c r="H81" s="32" t="str">
        <x:v>https://video.invalid/case/V0077</x:v>
      </x:c>
      <x:c r="I81" s="32" t="str">
        <x:v>เสื้อเด็ก</x:v>
      </x:c>
      <x:c r="J81" s="32" t="str">
        <x:v>2026-07-20 18:00</x:v>
      </x:c>
      <x:c r="K81" s="32" t="n">
        <x:v>3812</x:v>
      </x:c>
      <x:c r="L81" s="32" t="n">
        <x:v>318</x:v>
      </x:c>
      <x:c r="M81" s="32" t="str">
        <x:v>Reply</x:v>
      </x:c>
      <x:c r="N81" s="32" t="str">
        <x:v>Synthetic parent</x:v>
      </x:c>
      <x:c r="O81" s="32" t="str">
        <x:v>ภาพรวมของ office look นี้ดูตั้งใจแบบไม่เยอะเกินไปค่ะ พอมีตัวครอบกระดุมกับเข็มกลัดชิ้นเล็กแบบในรูป ภาพรวมก็ดู polished ขึ้นทันที</x:v>
      </x:c>
      <x:c r="P81" s="32" t="str">
        <x:v>IMG004</x:v>
      </x:c>
      <x:c r="Q81" s="32" t="str">
        <x:v>Polished black blazer look with pearl and monochrome fashion-button details</x:v>
      </x:c>
      <x:c r="R81" s="32" t="str">
        <x:v>Synthetic context before</x:v>
      </x:c>
      <x:c r="S81" s="32" t="str">
        <x:v>Synthetic context after</x:v>
      </x:c>
      <x:c r="T81" s="32" t="str">
        <x:v>Posted</x:v>
      </x:c>
      <x:c r="U81" s="32" t="str">
        <x:f>IFERROR(VLOOKUP(B81&amp;"|24h",'COMMENT_RECHECK'!$V$5:$Y$204,2,FALSE),"Pending")</x:f>
        <x:v>Visible</x:v>
      </x:c>
      <x:c r="V81" s="32" t="n">
        <x:v>0</x:v>
      </x:c>
      <x:c r="W81" s="32" t="str"/>
      <x:c r="X81" s="32" t="n">
        <x:v>0</x:v>
      </x:c>
      <x:c r="Y81" s="32" t="str">
        <x:v>EVD-SYN-0077-POST</x:v>
      </x:c>
      <x:c r="Z81" s="32" t="str"/>
      <x:c r="AA81" s="32" t="str">
        <x:v>Advanced</x:v>
      </x:c>
      <x:c r="AB81" s="32" t="str">
        <x:v>N/A</x:v>
      </x:c>
      <x:c r="AC81" s="32" t="str">
        <x:v>Styled</x:v>
      </x:c>
      <x:c r="AD81" s="32" t="str">
        <x:v>TH</x:v>
      </x:c>
      <x:c r="AE81" s="32" t="str">
        <x:v>Yes</x:v>
      </x:c>
      <x:c r="AF81" s="32" t="str">
        <x:v>Standard</x:v>
      </x:c>
      <x:c r="AG81" s="32" t="str">
        <x:v>LIB-017</x:v>
      </x:c>
      <x:c r="AH81" s="32" t="str">
        <x:v>TH</x:v>
      </x:c>
      <x:c r="AI81" s="32" t="str">
        <x:v>Reply</x:v>
      </x:c>
      <x:c r="AJ81" s="32" t="str">
        <x:v>None</x:v>
      </x:c>
      <x:c r="AK81" s="32" t="str">
        <x:v>inputs/product_images/IMG004.png</x:v>
      </x:c>
      <x:c r="AL81" s="32" t="str"/>
      <x:c r="AM81" s="32" t="str">
        <x:v>N/A</x:v>
      </x:c>
      <x:c r="AN81" s="32" t="str">
        <x:v>N/A</x:v>
      </x:c>
      <x:c r="AO81" s="32" t="str"/>
      <x:c r="AP81" s="32" t="str">
        <x:v>No</x:v>
      </x:c>
      <x:c r="AQ81" s="32" t="str">
        <x:v>Not Started</x:v>
      </x:c>
      <x:c r="AR81" s="32" t="str">
        <x:v>N/A</x:v>
      </x:c>
      <x:c r="AS81" s="32" t="str">
        <x:f>IFERROR(VLOOKUP(B81&amp;"|24h",'COMMENT_RECHECK'!$V$5:$Y$204,3,FALSE),"")</x:f>
        <x:v>None</x:v>
      </x:c>
      <x:c r="AT81" s="32" t="str">
        <x:v>[SANITIZED]</x:v>
      </x:c>
      <x:c r="AU81" s="32" t="str">
        <x:v>case_account_07</x:v>
      </x:c>
      <x:c r="AV81" s="32" t="str">
        <x:v>[SANITIZED]</x:v>
      </x:c>
      <x:c r="AW81" s="32" t="str">
        <x:v>[SANITIZED]</x:v>
      </x:c>
      <x:c r="AX81" s="32" t="str">
        <x:v>[SANITIZED]</x:v>
      </x:c>
      <x:c r="AY81" s="32" t="str">
        <x:v>Manual Simulation</x:v>
      </x:c>
      <x:c r="AZ81" s="32" t="str">
        <x:v>2026-07-23 15:52</x:v>
      </x:c>
      <x:c r="BA81" s="32" t="str">
        <x:v>2026-07-23 15:52</x:v>
      </x:c>
      <x:c r="BB81" s="32" t="str">
        <x:v>Yes</x:v>
      </x:c>
      <x:c r="BC81" s="32" t="str">
        <x:v>Yes</x:v>
      </x:c>
      <x:c r="BD81" s="32" t="str"/>
      <x:c r="BE81" s="32" t="str"/>
      <x:c r="BF81" s="32" t="str">
        <x:v>No</x:v>
      </x:c>
      <x:c r="BG81" s="32" t="str">
        <x:v>No</x:v>
      </x:c>
      <x:c r="BH81" s="32" t="n">
        <x:v>0</x:v>
      </x:c>
      <x:c r="BI81" s="32" t="str">
        <x:v>24h</x:v>
      </x:c>
      <x:c r="BJ81" s="32" t="str">
        <x:f>IFERROR(VLOOKUP(B81&amp;"|24h",'COMMENT_RECHECK'!$V$5:$Y$204,4,FALSE),"Pending")</x:f>
        <x:v>No Verified User Reply</x:v>
      </x:c>
      <x:c r="BK81" s="33" t="str">
        <x:f>IF(OR(COUNTIF($B$5:$B$104,B81)&gt;1,AND(T81="Posted",BC81&lt;&gt;"Yes"),AND(OR(BJ81="Verified User Reply",BJ81="Mixed Reply"),Y81="")),"Review","OK")</x:f>
        <x:v>OK</x:v>
      </x:c>
    </x:row>
    <x:row r="82">
      <x:c r="A82" s="49" t="n">
        <x:v>46227</x:v>
      </x:c>
      <x:c r="B82" s="32" t="str">
        <x:v>IC-0078</x:v>
      </x:c>
      <x:c r="C82" s="32" t="str">
        <x:v>Account Slot 8</x:v>
      </x:c>
      <x:c r="D82" s="32" t="str">
        <x:v>Synthetic Display 8</x:v>
      </x:c>
      <x:c r="E82" s="32" t="str">
        <x:v>16:59</x:v>
      </x:c>
      <x:c r="F82" s="32" t="str">
        <x:v>creator_case_078</x:v>
      </x:c>
      <x:c r="G82" s="32" t="str">
        <x:v>DIY</x:v>
      </x:c>
      <x:c r="H82" s="32" t="str">
        <x:v>https://video.invalid/case/V0078</x:v>
      </x:c>
      <x:c r="I82" s="32" t="str">
        <x:v>เสื้อคลุม</x:v>
      </x:c>
      <x:c r="J82" s="32" t="str">
        <x:v>2026-07-20 18:00</x:v>
      </x:c>
      <x:c r="K82" s="32" t="n">
        <x:v>3849</x:v>
      </x:c>
      <x:c r="L82" s="32" t="n">
        <x:v>321</x:v>
      </x:c>
      <x:c r="M82" s="32" t="str">
        <x:v>Main comment</x:v>
      </x:c>
      <x:c r="N82" s="32" t="str">
        <x:v>Main comment</x:v>
      </x:c>
      <x:c r="O82" s="32" t="str">
        <x:v>ภาพรวมของ office look นี้ดูตั้งใจแบบไม่เยอะเกินไปค่ะ ถ้าอยากให้ลุคดูเด่นขึ้น ลองเติมดีเทลบนปกหรือแนวเสื้อแบบในรูปดูค่ะ</x:v>
      </x:c>
      <x:c r="P82" s="32" t="str">
        <x:v>IMG004</x:v>
      </x:c>
      <x:c r="Q82" s="32" t="str">
        <x:v>Polished black blazer look with pearl and monochrome fashion-button details</x:v>
      </x:c>
      <x:c r="R82" s="32" t="str">
        <x:v>Synthetic context before</x:v>
      </x:c>
      <x:c r="S82" s="32" t="str">
        <x:v>Synthetic context after</x:v>
      </x:c>
      <x:c r="T82" s="32" t="str">
        <x:v>Posted</x:v>
      </x:c>
      <x:c r="U82" s="32" t="str">
        <x:f>IFERROR(VLOOKUP(B82&amp;"|24h",'COMMENT_RECHECK'!$V$5:$Y$204,2,FALSE),"Pending")</x:f>
        <x:v>Visible</x:v>
      </x:c>
      <x:c r="V82" s="32" t="n">
        <x:v>1</x:v>
      </x:c>
      <x:c r="W82" s="32" t="str">
        <x:v>Synthetic reply preview</x:v>
      </x:c>
      <x:c r="X82" s="32" t="n">
        <x:v>0</x:v>
      </x:c>
      <x:c r="Y82" s="32" t="str">
        <x:v>EVD-SYN-0078-POST</x:v>
      </x:c>
      <x:c r="Z82" s="32" t="str"/>
      <x:c r="AA82" s="32" t="str">
        <x:v>Advanced</x:v>
      </x:c>
      <x:c r="AB82" s="32" t="str">
        <x:v>N/A</x:v>
      </x:c>
      <x:c r="AC82" s="32" t="str">
        <x:v>Neutral</x:v>
      </x:c>
      <x:c r="AD82" s="32" t="str">
        <x:v>TH</x:v>
      </x:c>
      <x:c r="AE82" s="32" t="str">
        <x:v>Yes</x:v>
      </x:c>
      <x:c r="AF82" s="32" t="str">
        <x:v>Standard</x:v>
      </x:c>
      <x:c r="AG82" s="32" t="str">
        <x:v>LIB-018</x:v>
      </x:c>
      <x:c r="AH82" s="32" t="str">
        <x:v>TH</x:v>
      </x:c>
      <x:c r="AI82" s="32" t="str">
        <x:v>Main</x:v>
      </x:c>
      <x:c r="AJ82" s="32" t="str">
        <x:v>None</x:v>
      </x:c>
      <x:c r="AK82" s="32" t="str">
        <x:v>inputs/product_images/IMG004.png</x:v>
      </x:c>
      <x:c r="AL82" s="32" t="str"/>
      <x:c r="AM82" s="32" t="str">
        <x:v>N/A</x:v>
      </x:c>
      <x:c r="AN82" s="32" t="str">
        <x:v>N/A</x:v>
      </x:c>
      <x:c r="AO82" s="32" t="str"/>
      <x:c r="AP82" s="32" t="str">
        <x:v>Potential</x:v>
      </x:c>
      <x:c r="AQ82" s="32" t="str">
        <x:v>Not Started</x:v>
      </x:c>
      <x:c r="AR82" s="32" t="str">
        <x:v>N/A</x:v>
      </x:c>
      <x:c r="AS82" s="32" t="str">
        <x:f>IFERROR(VLOOKUP(B82&amp;"|24h",'COMMENT_RECHECK'!$V$5:$Y$204,3,FALSE),"")</x:f>
        <x:v>User</x:v>
      </x:c>
      <x:c r="AT82" s="32" t="str">
        <x:v>[SANITIZED]</x:v>
      </x:c>
      <x:c r="AU82" s="32" t="str">
        <x:v>case_account_08</x:v>
      </x:c>
      <x:c r="AV82" s="32" t="str">
        <x:v>[SANITIZED]</x:v>
      </x:c>
      <x:c r="AW82" s="32" t="str">
        <x:v>[SANITIZED]</x:v>
      </x:c>
      <x:c r="AX82" s="32" t="str">
        <x:v>[SANITIZED]</x:v>
      </x:c>
      <x:c r="AY82" s="32" t="str">
        <x:v>Manual Simulation</x:v>
      </x:c>
      <x:c r="AZ82" s="32" t="str">
        <x:v>2026-07-23 16:59</x:v>
      </x:c>
      <x:c r="BA82" s="32" t="str">
        <x:v>2026-07-23 16:59</x:v>
      </x:c>
      <x:c r="BB82" s="32" t="str">
        <x:v>Yes</x:v>
      </x:c>
      <x:c r="BC82" s="32" t="str">
        <x:v>Yes</x:v>
      </x:c>
      <x:c r="BD82" s="32" t="str"/>
      <x:c r="BE82" s="32" t="str"/>
      <x:c r="BF82" s="32" t="str">
        <x:v>No</x:v>
      </x:c>
      <x:c r="BG82" s="32" t="str">
        <x:v>No</x:v>
      </x:c>
      <x:c r="BH82" s="32" t="n">
        <x:v>0</x:v>
      </x:c>
      <x:c r="BI82" s="32" t="str">
        <x:v>24h</x:v>
      </x:c>
      <x:c r="BJ82" s="32" t="str">
        <x:f>IFERROR(VLOOKUP(B82&amp;"|24h",'COMMENT_RECHECK'!$V$5:$Y$204,4,FALSE),"Pending")</x:f>
        <x:v>Verified User Reply</x:v>
      </x:c>
      <x:c r="BK82" s="33" t="str">
        <x:f>IF(OR(COUNTIF($B$5:$B$104,B82)&gt;1,AND(T82="Posted",BC82&lt;&gt;"Yes"),AND(OR(BJ82="Verified User Reply",BJ82="Mixed Reply"),Y82="")),"Review","OK")</x:f>
        <x:v>OK</x:v>
      </x:c>
    </x:row>
    <x:row r="83">
      <x:c r="A83" s="49" t="n">
        <x:v>46227</x:v>
      </x:c>
      <x:c r="B83" s="32" t="str">
        <x:v>IC-0079</x:v>
      </x:c>
      <x:c r="C83" s="32" t="str">
        <x:v>Account Slot 9</x:v>
      </x:c>
      <x:c r="D83" s="32" t="str">
        <x:v>Synthetic Display 9</x:v>
      </x:c>
      <x:c r="E83" s="32" t="str">
        <x:v>17:06</x:v>
      </x:c>
      <x:c r="F83" s="32" t="str">
        <x:v>creator_case_079</x:v>
      </x:c>
      <x:c r="G83" s="32" t="str">
        <x:v>Lifestyle</x:v>
      </x:c>
      <x:c r="H83" s="32" t="str">
        <x:v>https://video.invalid/case/V0079</x:v>
      </x:c>
      <x:c r="I83" s="32" t="str">
        <x:v>การจับคู่สี</x:v>
      </x:c>
      <x:c r="J83" s="32" t="str">
        <x:v>2026-07-20 18:00</x:v>
      </x:c>
      <x:c r="K83" s="32" t="n">
        <x:v>3886</x:v>
      </x:c>
      <x:c r="L83" s="32" t="n">
        <x:v>324</x:v>
      </x:c>
      <x:c r="M83" s="32" t="str">
        <x:v>Main comment</x:v>
      </x:c>
      <x:c r="N83" s="32" t="str">
        <x:v>Main comment</x:v>
      </x:c>
      <x:c r="O83" s="32" t="str">
        <x:v>เบลเซอร์ลุคนี้ดูโปรและคุมโทนได้ดีมากค่ะ จุดเด่นเล็ก ๆ บนเบลเซอร์แบบในรูปทำให้ลุคโทนเข้มดูแพงขึ้นโดยไม่เยอะเกินไป</x:v>
      </x:c>
      <x:c r="P83" s="32" t="str">
        <x:v>IMG004</x:v>
      </x:c>
      <x:c r="Q83" s="32" t="str">
        <x:v>Polished black blazer look with pearl and monochrome fashion-button details</x:v>
      </x:c>
      <x:c r="R83" s="32" t="str">
        <x:v>Synthetic context before</x:v>
      </x:c>
      <x:c r="S83" s="32" t="str">
        <x:v>Synthetic context after</x:v>
      </x:c>
      <x:c r="T83" s="32" t="str">
        <x:v>Posted</x:v>
      </x:c>
      <x:c r="U83" s="32" t="str">
        <x:f>IFERROR(VLOOKUP(B83&amp;"|24h",'COMMENT_RECHECK'!$V$5:$Y$204,2,FALSE),"Pending")</x:f>
        <x:v>Visible</x:v>
      </x:c>
      <x:c r="V83" s="32" t="n">
        <x:v>2</x:v>
      </x:c>
      <x:c r="W83" s="32" t="str">
        <x:v>Synthetic reply preview</x:v>
      </x:c>
      <x:c r="X83" s="32" t="n">
        <x:v>0</x:v>
      </x:c>
      <x:c r="Y83" s="32" t="str">
        <x:v>EVD-SYN-0079-POST</x:v>
      </x:c>
      <x:c r="Z83" s="32" t="str"/>
      <x:c r="AA83" s="32" t="str">
        <x:v>Advanced</x:v>
      </x:c>
      <x:c r="AB83" s="32" t="str">
        <x:v>N/A</x:v>
      </x:c>
      <x:c r="AC83" s="32" t="str">
        <x:v>Styled</x:v>
      </x:c>
      <x:c r="AD83" s="32" t="str">
        <x:v>TH</x:v>
      </x:c>
      <x:c r="AE83" s="32" t="str">
        <x:v>Yes</x:v>
      </x:c>
      <x:c r="AF83" s="32" t="str">
        <x:v>Standard</x:v>
      </x:c>
      <x:c r="AG83" s="32" t="str">
        <x:v>LIB-019</x:v>
      </x:c>
      <x:c r="AH83" s="32" t="str">
        <x:v>TH</x:v>
      </x:c>
      <x:c r="AI83" s="32" t="str">
        <x:v>Main</x:v>
      </x:c>
      <x:c r="AJ83" s="32" t="str">
        <x:v>Reference</x:v>
      </x:c>
      <x:c r="AK83" s="32" t="str">
        <x:v>inputs/product_images/IMG004.png</x:v>
      </x:c>
      <x:c r="AL83" s="32" t="str"/>
      <x:c r="AM83" s="32" t="str">
        <x:v>Yes</x:v>
      </x:c>
      <x:c r="AN83" s="32" t="str">
        <x:v>Complete</x:v>
      </x:c>
      <x:c r="AO83" s="32" t="str"/>
      <x:c r="AP83" s="32" t="str">
        <x:v>Potential</x:v>
      </x:c>
      <x:c r="AQ83" s="32" t="str">
        <x:v>Not Started</x:v>
      </x:c>
      <x:c r="AR83" s="32" t="str">
        <x:v>Fit</x:v>
      </x:c>
      <x:c r="AS83" s="32" t="str">
        <x:f>IFERROR(VLOOKUP(B83&amp;"|24h",'COMMENT_RECHECK'!$V$5:$Y$204,3,FALSE),"")</x:f>
        <x:v>Mixed</x:v>
      </x:c>
      <x:c r="AT83" s="32" t="str">
        <x:v>[SANITIZED]</x:v>
      </x:c>
      <x:c r="AU83" s="32" t="str">
        <x:v>case_account_09</x:v>
      </x:c>
      <x:c r="AV83" s="32" t="str">
        <x:v>[SANITIZED]</x:v>
      </x:c>
      <x:c r="AW83" s="32" t="str">
        <x:v>[SANITIZED]</x:v>
      </x:c>
      <x:c r="AX83" s="32" t="str">
        <x:v>[SANITIZED]</x:v>
      </x:c>
      <x:c r="AY83" s="32" t="str">
        <x:v>Manual Simulation</x:v>
      </x:c>
      <x:c r="AZ83" s="32" t="str">
        <x:v>2026-07-23 17:06</x:v>
      </x:c>
      <x:c r="BA83" s="32" t="str">
        <x:v>2026-07-23 17:06</x:v>
      </x:c>
      <x:c r="BB83" s="32" t="str">
        <x:v>Yes</x:v>
      </x:c>
      <x:c r="BC83" s="32" t="str">
        <x:v>Yes</x:v>
      </x:c>
      <x:c r="BD83" s="32" t="str"/>
      <x:c r="BE83" s="32" t="str"/>
      <x:c r="BF83" s="32" t="str">
        <x:v>No</x:v>
      </x:c>
      <x:c r="BG83" s="32" t="str">
        <x:v>No</x:v>
      </x:c>
      <x:c r="BH83" s="32" t="n">
        <x:v>0</x:v>
      </x:c>
      <x:c r="BI83" s="32" t="str">
        <x:v>24h</x:v>
      </x:c>
      <x:c r="BJ83" s="32" t="str">
        <x:f>IFERROR(VLOOKUP(B83&amp;"|24h",'COMMENT_RECHECK'!$V$5:$Y$204,4,FALSE),"Pending")</x:f>
        <x:v>Mixed Reply</x:v>
      </x:c>
      <x:c r="BK83" s="33" t="str">
        <x:f>IF(OR(COUNTIF($B$5:$B$104,B83)&gt;1,AND(T83="Posted",BC83&lt;&gt;"Yes"),AND(OR(BJ83="Verified User Reply",BJ83="Mixed Reply"),Y83="")),"Review","OK")</x:f>
        <x:v>OK</x:v>
      </x:c>
    </x:row>
    <x:row r="84">
      <x:c r="A84" s="49" t="n">
        <x:v>46227</x:v>
      </x:c>
      <x:c r="B84" s="32" t="str">
        <x:v>IC-0080</x:v>
      </x:c>
      <x:c r="C84" s="32" t="str">
        <x:v>Account Slot 10</x:v>
      </x:c>
      <x:c r="D84" s="32" t="str">
        <x:v>Synthetic Display 10</x:v>
      </x:c>
      <x:c r="E84" s="32" t="str">
        <x:v>03:15</x:v>
      </x:c>
      <x:c r="F84" s="32" t="str">
        <x:v>creator_case_080</x:v>
      </x:c>
      <x:c r="G84" s="32" t="str">
        <x:v>Tailoring</x:v>
      </x:c>
      <x:c r="H84" s="32" t="str">
        <x:v>https://video.invalid/case/V0080</x:v>
      </x:c>
      <x:c r="I84" s="32" t="str">
        <x:v>รีวิวงานฝีมือ</x:v>
      </x:c>
      <x:c r="J84" s="32" t="str">
        <x:v>2026-07-20 18:00</x:v>
      </x:c>
      <x:c r="K84" s="32" t="n">
        <x:v>3923</x:v>
      </x:c>
      <x:c r="L84" s="32" t="n">
        <x:v>327</x:v>
      </x:c>
      <x:c r="M84" s="32" t="str">
        <x:v>Main comment</x:v>
      </x:c>
      <x:c r="N84" s="32" t="str">
        <x:v>Main comment</x:v>
      </x:c>
      <x:c r="O84" s="32" t="str">
        <x:v>เสื้อเรียบแบบนี้เป็นเบสที่แต่งสนุกมากค่ะ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P84" s="32" t="str">
        <x:v>IMG002</x:v>
      </x:c>
      <x:c r="Q84" s="32" t="str">
        <x:v>White shirt with floral fashion-button details at the collar and cuff</x:v>
      </x:c>
      <x:c r="R84" s="32" t="str">
        <x:v>Synthetic context before</x:v>
      </x:c>
      <x:c r="S84" s="32" t="str">
        <x:v>Synthetic context after</x:v>
      </x:c>
      <x:c r="T84" s="32" t="str">
        <x:v>Posted</x:v>
      </x:c>
      <x:c r="U84" s="32" t="str">
        <x:f>IFERROR(VLOOKUP(B84&amp;"|24h",'COMMENT_RECHECK'!$V$5:$Y$204,2,FALSE),"Pending")</x:f>
        <x:v>Visible</x:v>
      </x:c>
      <x:c r="V84" s="32" t="n">
        <x:v>0</x:v>
      </x:c>
      <x:c r="W84" s="32" t="str"/>
      <x:c r="X84" s="32" t="n">
        <x:v>0</x:v>
      </x:c>
      <x:c r="Y84" s="32" t="str">
        <x:v>EVD-SYN-0080-POST</x:v>
      </x:c>
      <x:c r="Z84" s="32" t="str">
        <x:v>Outside posting window</x:v>
      </x:c>
      <x:c r="AA84" s="32" t="str">
        <x:v>Advanced</x:v>
      </x:c>
      <x:c r="AB84" s="32" t="str">
        <x:v>N/A</x:v>
      </x:c>
      <x:c r="AC84" s="32" t="str">
        <x:v>Neutral</x:v>
      </x:c>
      <x:c r="AD84" s="32" t="str">
        <x:v>TH</x:v>
      </x:c>
      <x:c r="AE84" s="32" t="str">
        <x:v>Yes</x:v>
      </x:c>
      <x:c r="AF84" s="32" t="str">
        <x:v>Standard</x:v>
      </x:c>
      <x:c r="AG84" s="32" t="str">
        <x:v>LIB-020</x:v>
      </x:c>
      <x:c r="AH84" s="32" t="str">
        <x:v>TH</x:v>
      </x:c>
      <x:c r="AI84" s="32" t="str">
        <x:v>Main</x:v>
      </x:c>
      <x:c r="AJ84" s="32" t="str">
        <x:v>None</x:v>
      </x:c>
      <x:c r="AK84" s="32" t="str">
        <x:v>inputs/product_images/IMG002.png</x:v>
      </x:c>
      <x:c r="AL84" s="32" t="str"/>
      <x:c r="AM84" s="32" t="str">
        <x:v>N/A</x:v>
      </x:c>
      <x:c r="AN84" s="32" t="str">
        <x:v>N/A</x:v>
      </x:c>
      <x:c r="AO84" s="32" t="str"/>
      <x:c r="AP84" s="32" t="str">
        <x:v>No</x:v>
      </x:c>
      <x:c r="AQ84" s="32" t="str">
        <x:v>Not Started</x:v>
      </x:c>
      <x:c r="AR84" s="32" t="str">
        <x:v>N/A</x:v>
      </x:c>
      <x:c r="AS84" s="32" t="str">
        <x:f>IFERROR(VLOOKUP(B84&amp;"|24h",'COMMENT_RECHECK'!$V$5:$Y$204,3,FALSE),"")</x:f>
        <x:v>None</x:v>
      </x:c>
      <x:c r="AT84" s="32" t="str">
        <x:v>[SANITIZED]</x:v>
      </x:c>
      <x:c r="AU84" s="32" t="str">
        <x:v>case_account_10</x:v>
      </x:c>
      <x:c r="AV84" s="32" t="str">
        <x:v>[SANITIZED]</x:v>
      </x:c>
      <x:c r="AW84" s="32" t="str">
        <x:v>[SANITIZED]</x:v>
      </x:c>
      <x:c r="AX84" s="32" t="str">
        <x:v>[SANITIZED]</x:v>
      </x:c>
      <x:c r="AY84" s="32" t="str">
        <x:v>Manual Simulation</x:v>
      </x:c>
      <x:c r="AZ84" s="32" t="str">
        <x:v>2026-07-23 03:15</x:v>
      </x:c>
      <x:c r="BA84" s="32" t="str">
        <x:v>2026-07-23 03:15</x:v>
      </x:c>
      <x:c r="BB84" s="32" t="str">
        <x:v>Yes</x:v>
      </x:c>
      <x:c r="BC84" s="32" t="str">
        <x:v>Yes</x:v>
      </x:c>
      <x:c r="BD84" s="32" t="str"/>
      <x:c r="BE84" s="32" t="str"/>
      <x:c r="BF84" s="32" t="str">
        <x:v>No</x:v>
      </x:c>
      <x:c r="BG84" s="32" t="str">
        <x:v>No</x:v>
      </x:c>
      <x:c r="BH84" s="32" t="n">
        <x:v>0</x:v>
      </x:c>
      <x:c r="BI84" s="32" t="str">
        <x:v>24h</x:v>
      </x:c>
      <x:c r="BJ84" s="32" t="str">
        <x:f>IFERROR(VLOOKUP(B84&amp;"|24h",'COMMENT_RECHECK'!$V$5:$Y$204,4,FALSE),"Pending")</x:f>
        <x:v>No Verified User Reply</x:v>
      </x:c>
      <x:c r="BK84" s="33" t="str">
        <x:f>IF(OR(COUNTIF($B$5:$B$104,B84)&gt;1,AND(T84="Posted",BC84&lt;&gt;"Yes"),AND(OR(BJ84="Verified User Reply",BJ84="Mixed Reply"),Y84="")),"Review","OK")</x:f>
        <x:v>OK</x:v>
      </x:c>
    </x:row>
    <x:row r="85">
      <x:c r="A85" s="49" t="n">
        <x:v>46227</x:v>
      </x:c>
      <x:c r="B85" s="32" t="str">
        <x:v>IC-0081</x:v>
      </x:c>
      <x:c r="C85" s="32" t="str">
        <x:v>Account Slot 1</x:v>
      </x:c>
      <x:c r="D85" s="32" t="str">
        <x:v>Synthetic Display 1</x:v>
      </x:c>
      <x:c r="E85" s="32" t="str">
        <x:v>09:20</x:v>
      </x:c>
      <x:c r="F85" s="32" t="str">
        <x:v>creator_case_081</x:v>
      </x:c>
      <x:c r="G85" s="32" t="str">
        <x:v>Fashion</x:v>
      </x:c>
      <x:c r="H85" s="32" t="str">
        <x:v>https://video.invalid/case/V0081</x:v>
      </x:c>
      <x:c r="I85" s="32" t="str">
        <x:v>เสื้อเชิ้ตทำงาน</x:v>
      </x:c>
      <x:c r="J85" s="32" t="str">
        <x:v>2026-07-20 18:00</x:v>
      </x:c>
      <x:c r="K85" s="32" t="n">
        <x:v>3960</x:v>
      </x:c>
      <x:c r="L85" s="32" t="n">
        <x:v>330</x:v>
      </x:c>
      <x:c r="M85" s="32" t="str">
        <x:v>Reply</x:v>
      </x:c>
      <x:c r="N85" s="32" t="str">
        <x:v>Synthetic parent</x:v>
      </x:c>
      <x:c r="O85" s="32" t="str">
        <x:v>เชิ้ตตัวนี้ให้มู้ดสุภาพแต่ยังดูทันสมัยอยู่ค่ะ ดีเทลคอเสื้อกับปลายแขนแบบในรูปช่วยเปลี่ยนเสื้อตัวเดิมให้ดูพิเศษขึ้นพอดี</x:v>
      </x:c>
      <x:c r="P85" s="32" t="str">
        <x:v>IMG002</x:v>
      </x:c>
      <x:c r="Q85" s="32" t="str">
        <x:v>White shirt with floral fashion-button details at the collar and cuff</x:v>
      </x:c>
      <x:c r="R85" s="32" t="str">
        <x:v>Synthetic context before</x:v>
      </x:c>
      <x:c r="S85" s="32" t="str">
        <x:v>Synthetic context after</x:v>
      </x:c>
      <x:c r="T85" s="32" t="str">
        <x:v>Posted</x:v>
      </x:c>
      <x:c r="U85" s="32" t="str">
        <x:f>IFERROR(VLOOKUP(B85&amp;"|24h",'COMMENT_RECHECK'!$V$5:$Y$204,2,FALSE),"Pending")</x:f>
        <x:v>Missing</x:v>
      </x:c>
      <x:c r="V85" s="32" t="n">
        <x:v>0</x:v>
      </x:c>
      <x:c r="W85" s="32" t="str"/>
      <x:c r="X85" s="32" t="n">
        <x:v>0</x:v>
      </x:c>
      <x:c r="Y85" s="32" t="str">
        <x:v>EVD-SYN-0081-POST</x:v>
      </x:c>
      <x:c r="Z85" s="32" t="str"/>
      <x:c r="AA85" s="32" t="str">
        <x:v>Advanced</x:v>
      </x:c>
      <x:c r="AB85" s="32" t="str">
        <x:v>N/A</x:v>
      </x:c>
      <x:c r="AC85" s="32" t="str">
        <x:v>Styled</x:v>
      </x:c>
      <x:c r="AD85" s="32" t="str">
        <x:v>TH</x:v>
      </x:c>
      <x:c r="AE85" s="32" t="str">
        <x:v>Yes</x:v>
      </x:c>
      <x:c r="AF85" s="32" t="str">
        <x:v>Standard</x:v>
      </x:c>
      <x:c r="AG85" s="32" t="str">
        <x:v>LIB-001</x:v>
      </x:c>
      <x:c r="AH85" s="32" t="str">
        <x:v>TH</x:v>
      </x:c>
      <x:c r="AI85" s="32" t="str">
        <x:v>Reply</x:v>
      </x:c>
      <x:c r="AJ85" s="32" t="str">
        <x:v>None</x:v>
      </x:c>
      <x:c r="AK85" s="32" t="str">
        <x:v>inputs/product_images/IMG002.png</x:v>
      </x:c>
      <x:c r="AL85" s="32" t="str"/>
      <x:c r="AM85" s="32" t="str">
        <x:v>N/A</x:v>
      </x:c>
      <x:c r="AN85" s="32" t="str">
        <x:v>N/A</x:v>
      </x:c>
      <x:c r="AO85" s="32" t="str"/>
      <x:c r="AP85" s="32" t="str">
        <x:v>No</x:v>
      </x:c>
      <x:c r="AQ85" s="32" t="str">
        <x:v>Not Started</x:v>
      </x:c>
      <x:c r="AR85" s="32" t="str">
        <x:v>N/A</x:v>
      </x:c>
      <x:c r="AS85" s="32" t="str">
        <x:f>IFERROR(VLOOKUP(B85&amp;"|24h",'COMMENT_RECHECK'!$V$5:$Y$204,3,FALSE),"")</x:f>
        <x:v>None</x:v>
      </x:c>
      <x:c r="AT85" s="32" t="str">
        <x:v>[SANITIZED]</x:v>
      </x:c>
      <x:c r="AU85" s="32" t="str">
        <x:v>case_account_01</x:v>
      </x:c>
      <x:c r="AV85" s="32" t="str">
        <x:v>[SANITIZED]</x:v>
      </x:c>
      <x:c r="AW85" s="32" t="str">
        <x:v>[SANITIZED]</x:v>
      </x:c>
      <x:c r="AX85" s="32" t="str">
        <x:v>[SANITIZED]</x:v>
      </x:c>
      <x:c r="AY85" s="32" t="str">
        <x:v>Manual Simulation</x:v>
      </x:c>
      <x:c r="AZ85" s="32" t="str">
        <x:v>2026-07-23 09:20</x:v>
      </x:c>
      <x:c r="BA85" s="32" t="str">
        <x:v>2026-07-23 09:20</x:v>
      </x:c>
      <x:c r="BB85" s="32" t="str">
        <x:v>Yes</x:v>
      </x:c>
      <x:c r="BC85" s="32" t="str">
        <x:v>Yes</x:v>
      </x:c>
      <x:c r="BD85" s="32" t="str"/>
      <x:c r="BE85" s="32" t="str"/>
      <x:c r="BF85" s="32" t="str">
        <x:v>No</x:v>
      </x:c>
      <x:c r="BG85" s="32" t="str">
        <x:v>No</x:v>
      </x:c>
      <x:c r="BH85" s="32" t="n">
        <x:v>0</x:v>
      </x:c>
      <x:c r="BI85" s="32" t="str">
        <x:v>24h</x:v>
      </x:c>
      <x:c r="BJ85" s="32" t="str">
        <x:f>IFERROR(VLOOKUP(B85&amp;"|24h",'COMMENT_RECHECK'!$V$5:$Y$204,4,FALSE),"Pending")</x:f>
        <x:v>No Verified User Reply</x:v>
      </x:c>
      <x:c r="BK85" s="33" t="str">
        <x:f>IF(OR(COUNTIF($B$5:$B$104,B85)&gt;1,AND(T85="Posted",BC85&lt;&gt;"Yes"),AND(OR(BJ85="Verified User Reply",BJ85="Mixed Reply"),Y85="")),"Review","OK")</x:f>
        <x:v>OK</x:v>
      </x:c>
    </x:row>
    <x:row r="86">
      <x:c r="A86" s="49" t="n">
        <x:v>46227</x:v>
      </x:c>
      <x:c r="B86" s="32" t="str">
        <x:v>IC-0082</x:v>
      </x:c>
      <x:c r="C86" s="32" t="str">
        <x:v>Account Slot 2</x:v>
      </x:c>
      <x:c r="D86" s="32" t="str">
        <x:v>Synthetic Display 2</x:v>
      </x:c>
      <x:c r="E86" s="32" t="str">
        <x:v>10:27</x:v>
      </x:c>
      <x:c r="F86" s="32" t="str">
        <x:v>creator_case_082</x:v>
      </x:c>
      <x:c r="G86" s="32" t="str">
        <x:v>DIY</x:v>
      </x:c>
      <x:c r="H86" s="32" t="str">
        <x:v>https://video.invalid/case/V0082</x:v>
      </x:c>
      <x:c r="I86" s="32" t="str">
        <x:v>แจ็กเก็ตเดนิม</x:v>
      </x:c>
      <x:c r="J86" s="32" t="str">
        <x:v>2026-07-20 18:00</x:v>
      </x:c>
      <x:c r="K86" s="32" t="n">
        <x:v>3997</x:v>
      </x:c>
      <x:c r="L86" s="32" t="n">
        <x:v>333</x:v>
      </x:c>
      <x:c r="M86" s="32" t="str">
        <x:v>Main comment</x:v>
      </x:c>
      <x:c r="N86" s="32" t="str">
        <x:v>Main comment</x:v>
      </x:c>
      <x:c r="O86" s="32" t="str">
        <x:v>ทรงเชิ้ตช่วยให้ลุคดูเนี้ยบแบบไม่เป็นทางการเกินไปค่ะ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86" s="32" t="str">
        <x:v>IMG002</x:v>
      </x:c>
      <x:c r="Q86" s="32" t="str">
        <x:v>White shirt with floral fashion-button details at the collar and cuff</x:v>
      </x:c>
      <x:c r="R86" s="32" t="str">
        <x:v>Synthetic context before</x:v>
      </x:c>
      <x:c r="S86" s="32" t="str">
        <x:v>Synthetic context after</x:v>
      </x:c>
      <x:c r="T86" s="32" t="str">
        <x:v>Posted</x:v>
      </x:c>
      <x:c r="U86" s="32" t="str">
        <x:f>IFERROR(VLOOKUP(B86&amp;"|24h",'COMMENT_RECHECK'!$V$5:$Y$204,2,FALSE),"Pending")</x:f>
        <x:v>Visible</x:v>
      </x:c>
      <x:c r="V86" s="32" t="n">
        <x:v>0</x:v>
      </x:c>
      <x:c r="W86" s="32" t="str"/>
      <x:c r="X86" s="32" t="n">
        <x:v>0</x:v>
      </x:c>
      <x:c r="Y86" s="32" t="str">
        <x:v>EVD-SYN-0082-POST</x:v>
      </x:c>
      <x:c r="Z86" s="32" t="str"/>
      <x:c r="AA86" s="32" t="str">
        <x:v>Advanced</x:v>
      </x:c>
      <x:c r="AB86" s="32" t="str">
        <x:v>N/A</x:v>
      </x:c>
      <x:c r="AC86" s="32" t="str">
        <x:v>Neutral</x:v>
      </x:c>
      <x:c r="AD86" s="32" t="str">
        <x:v>TH</x:v>
      </x:c>
      <x:c r="AE86" s="32" t="str">
        <x:v>Yes</x:v>
      </x:c>
      <x:c r="AF86" s="32" t="str">
        <x:v>Standard</x:v>
      </x:c>
      <x:c r="AG86" s="32" t="str">
        <x:v>LIB-002</x:v>
      </x:c>
      <x:c r="AH86" s="32" t="str">
        <x:v>TH</x:v>
      </x:c>
      <x:c r="AI86" s="32" t="str">
        <x:v>Main</x:v>
      </x:c>
      <x:c r="AJ86" s="32" t="str">
        <x:v>None</x:v>
      </x:c>
      <x:c r="AK86" s="32" t="str">
        <x:v>inputs/product_images/IMG002.png</x:v>
      </x:c>
      <x:c r="AL86" s="32" t="str"/>
      <x:c r="AM86" s="32" t="str">
        <x:v>N/A</x:v>
      </x:c>
      <x:c r="AN86" s="32" t="str">
        <x:v>N/A</x:v>
      </x:c>
      <x:c r="AO86" s="32" t="str"/>
      <x:c r="AP86" s="32" t="str">
        <x:v>No</x:v>
      </x:c>
      <x:c r="AQ86" s="32" t="str">
        <x:v>Not Started</x:v>
      </x:c>
      <x:c r="AR86" s="32" t="str">
        <x:v>N/A</x:v>
      </x:c>
      <x:c r="AS86" s="32" t="str">
        <x:f>IFERROR(VLOOKUP(B86&amp;"|24h",'COMMENT_RECHECK'!$V$5:$Y$204,3,FALSE),"")</x:f>
        <x:v>None</x:v>
      </x:c>
      <x:c r="AT86" s="32" t="str">
        <x:v>[SANITIZED]</x:v>
      </x:c>
      <x:c r="AU86" s="32" t="str">
        <x:v>case_account_02</x:v>
      </x:c>
      <x:c r="AV86" s="32" t="str">
        <x:v>[SANITIZED]</x:v>
      </x:c>
      <x:c r="AW86" s="32" t="str">
        <x:v>[SANITIZED]</x:v>
      </x:c>
      <x:c r="AX86" s="32" t="str">
        <x:v>[SANITIZED]</x:v>
      </x:c>
      <x:c r="AY86" s="32" t="str">
        <x:v>Manual Simulation</x:v>
      </x:c>
      <x:c r="AZ86" s="32" t="str">
        <x:v>2026-07-23 10:27</x:v>
      </x:c>
      <x:c r="BA86" s="32" t="str">
        <x:v>2026-07-23 10:27</x:v>
      </x:c>
      <x:c r="BB86" s="32" t="str">
        <x:v>Yes</x:v>
      </x:c>
      <x:c r="BC86" s="32" t="str">
        <x:v>Yes</x:v>
      </x:c>
      <x:c r="BD86" s="32" t="str"/>
      <x:c r="BE86" s="32" t="str"/>
      <x:c r="BF86" s="32" t="str">
        <x:v>No</x:v>
      </x:c>
      <x:c r="BG86" s="32" t="str">
        <x:v>No</x:v>
      </x:c>
      <x:c r="BH86" s="32" t="n">
        <x:v>0</x:v>
      </x:c>
      <x:c r="BI86" s="32" t="str">
        <x:v>24h</x:v>
      </x:c>
      <x:c r="BJ86" s="32" t="str">
        <x:f>IFERROR(VLOOKUP(B86&amp;"|24h",'COMMENT_RECHECK'!$V$5:$Y$204,4,FALSE),"Pending")</x:f>
        <x:v>No Verified User Reply</x:v>
      </x:c>
      <x:c r="BK86" s="33" t="str">
        <x:f>IF(OR(COUNTIF($B$5:$B$104,B86)&gt;1,AND(T86="Posted",BC86&lt;&gt;"Yes"),AND(OR(BJ86="Verified User Reply",BJ86="Mixed Reply"),Y86="")),"Review","OK")</x:f>
        <x:v>OK</x:v>
      </x:c>
    </x:row>
    <x:row r="87">
      <x:c r="A87" s="49" t="n">
        <x:v>46227</x:v>
      </x:c>
      <x:c r="B87" s="32" t="str">
        <x:v>IC-0083</x:v>
      </x:c>
      <x:c r="C87" s="32" t="str">
        <x:v>Account Slot 3</x:v>
      </x:c>
      <x:c r="D87" s="32" t="str">
        <x:v>Synthetic Display 3</x:v>
      </x:c>
      <x:c r="E87" s="32" t="str">
        <x:v>11:34</x:v>
      </x:c>
      <x:c r="F87" s="32" t="str">
        <x:v>creator_case_083</x:v>
      </x:c>
      <x:c r="G87" s="32" t="str">
        <x:v>Lifestyle</x:v>
      </x:c>
      <x:c r="H87" s="32" t="str">
        <x:v>https://video.invalid/case/V0083</x:v>
      </x:c>
      <x:c r="I87" s="32" t="str">
        <x:v>เดรสออกงาน</x:v>
      </x:c>
      <x:c r="J87" s="32" t="str">
        <x:v>2026-07-20 18:00</x:v>
      </x:c>
      <x:c r="K87" s="32" t="n">
        <x:v>4034</x:v>
      </x:c>
      <x:c r="L87" s="32" t="n">
        <x:v>336</x:v>
      </x:c>
      <x:c r="M87" s="32" t="str">
        <x:v>Main comment</x:v>
      </x:c>
      <x:c r="N87" s="32" t="str">
        <x:v>Main comment</x:v>
      </x:c>
      <x:c r="O87" s="32" t="str">
        <x:v>OOTD นี้คุมความเรียบกับความเก๋ได้พอดีเลย พอมีตัวครอบกระดุมชิ้นเล็กแบบในรูป ช่วงคอกับข้อมือก็ดูตั้งใจขึ้นทันที</x:v>
      </x:c>
      <x:c r="P87" s="32" t="str">
        <x:v>IMG002</x:v>
      </x:c>
      <x:c r="Q87" s="32" t="str">
        <x:v>White shirt with floral fashion-button details at the collar and cuff</x:v>
      </x:c>
      <x:c r="R87" s="32" t="str">
        <x:v>Synthetic context before</x:v>
      </x:c>
      <x:c r="S87" s="32" t="str">
        <x:v>Synthetic context after</x:v>
      </x:c>
      <x:c r="T87" s="32" t="str">
        <x:v>Posted</x:v>
      </x:c>
      <x:c r="U87" s="32" t="str">
        <x:f>IFERROR(VLOOKUP(B87&amp;"|24h",'COMMENT_RECHECK'!$V$5:$Y$204,2,FALSE),"Pending")</x:f>
        <x:v>Visible</x:v>
      </x:c>
      <x:c r="V87" s="32" t="n">
        <x:v>0</x:v>
      </x:c>
      <x:c r="W87" s="32" t="str"/>
      <x:c r="X87" s="32" t="n">
        <x:v>0</x:v>
      </x:c>
      <x:c r="Y87" s="32" t="str">
        <x:v>EVD-SYN-0083-POST</x:v>
      </x:c>
      <x:c r="Z87" s="32" t="str"/>
      <x:c r="AA87" s="32" t="str">
        <x:v>Advanced</x:v>
      </x:c>
      <x:c r="AB87" s="32" t="str">
        <x:v>N/A</x:v>
      </x:c>
      <x:c r="AC87" s="32" t="str">
        <x:v>Styled</x:v>
      </x:c>
      <x:c r="AD87" s="32" t="str">
        <x:v>TH</x:v>
      </x:c>
      <x:c r="AE87" s="32" t="str">
        <x:v>Yes</x:v>
      </x:c>
      <x:c r="AF87" s="32" t="str">
        <x:v>Standard</x:v>
      </x:c>
      <x:c r="AG87" s="32" t="str">
        <x:v>LIB-003</x:v>
      </x:c>
      <x:c r="AH87" s="32" t="str">
        <x:v>TH</x:v>
      </x:c>
      <x:c r="AI87" s="32" t="str">
        <x:v>Main</x:v>
      </x:c>
      <x:c r="AJ87" s="32" t="str">
        <x:v>None</x:v>
      </x:c>
      <x:c r="AK87" s="32" t="str">
        <x:v>inputs/product_images/IMG002.png</x:v>
      </x:c>
      <x:c r="AL87" s="32" t="str"/>
      <x:c r="AM87" s="32" t="str">
        <x:v>N/A</x:v>
      </x:c>
      <x:c r="AN87" s="32" t="str">
        <x:v>N/A</x:v>
      </x:c>
      <x:c r="AO87" s="32" t="str"/>
      <x:c r="AP87" s="32" t="str">
        <x:v>No</x:v>
      </x:c>
      <x:c r="AQ87" s="32" t="str">
        <x:v>Not Started</x:v>
      </x:c>
      <x:c r="AR87" s="32" t="str">
        <x:v>N/A</x:v>
      </x:c>
      <x:c r="AS87" s="32" t="str">
        <x:f>IFERROR(VLOOKUP(B87&amp;"|24h",'COMMENT_RECHECK'!$V$5:$Y$204,3,FALSE),"")</x:f>
        <x:v>None</x:v>
      </x:c>
      <x:c r="AT87" s="32" t="str">
        <x:v>[SANITIZED]</x:v>
      </x:c>
      <x:c r="AU87" s="32" t="str">
        <x:v>case_account_03</x:v>
      </x:c>
      <x:c r="AV87" s="32" t="str">
        <x:v>[SANITIZED]</x:v>
      </x:c>
      <x:c r="AW87" s="32" t="str">
        <x:v>[SANITIZED]</x:v>
      </x:c>
      <x:c r="AX87" s="32" t="str">
        <x:v>[SANITIZED]</x:v>
      </x:c>
      <x:c r="AY87" s="32" t="str">
        <x:v>Manual Simulation</x:v>
      </x:c>
      <x:c r="AZ87" s="32" t="str">
        <x:v>2026-07-23 11:34</x:v>
      </x:c>
      <x:c r="BA87" s="32" t="str">
        <x:v>2026-07-23 11:34</x:v>
      </x:c>
      <x:c r="BB87" s="32" t="str">
        <x:v>Yes</x:v>
      </x:c>
      <x:c r="BC87" s="32" t="str">
        <x:v>Yes</x:v>
      </x:c>
      <x:c r="BD87" s="32" t="str"/>
      <x:c r="BE87" s="32" t="str"/>
      <x:c r="BF87" s="32" t="str">
        <x:v>No</x:v>
      </x:c>
      <x:c r="BG87" s="32" t="str">
        <x:v>No</x:v>
      </x:c>
      <x:c r="BH87" s="32" t="n">
        <x:v>0</x:v>
      </x:c>
      <x:c r="BI87" s="32" t="str">
        <x:v>24h</x:v>
      </x:c>
      <x:c r="BJ87" s="32" t="str">
        <x:f>IFERROR(VLOOKUP(B87&amp;"|24h",'COMMENT_RECHECK'!$V$5:$Y$204,4,FALSE),"Pending")</x:f>
        <x:v>No Verified User Reply</x:v>
      </x:c>
      <x:c r="BK87" s="33" t="str">
        <x:f>IF(OR(COUNTIF($B$5:$B$104,B87)&gt;1,AND(T87="Posted",BC87&lt;&gt;"Yes"),AND(OR(BJ87="Verified User Reply",BJ87="Mixed Reply"),Y87="")),"Review","OK")</x:f>
        <x:v>OK</x:v>
      </x:c>
    </x:row>
    <x:row r="88">
      <x:c r="A88" s="49" t="n">
        <x:v>46227</x:v>
      </x:c>
      <x:c r="B88" s="32" t="str">
        <x:v>IC-0084</x:v>
      </x:c>
      <x:c r="C88" s="32" t="str">
        <x:v>Account Slot 4</x:v>
      </x:c>
      <x:c r="D88" s="32" t="str">
        <x:v>Synthetic Display 4</x:v>
      </x:c>
      <x:c r="E88" s="32" t="str">
        <x:v>12:41</x:v>
      </x:c>
      <x:c r="F88" s="32" t="str">
        <x:v>creator_case_084</x:v>
      </x:c>
      <x:c r="G88" s="32" t="str">
        <x:v>Tailoring</x:v>
      </x:c>
      <x:c r="H88" s="32" t="str">
        <x:v>https://video.invalid/case/V0084</x:v>
      </x:c>
      <x:c r="I88" s="32" t="str">
        <x:v>งานเย็บ DIY</x:v>
      </x:c>
      <x:c r="J88" s="32" t="str">
        <x:v>2026-07-20 18:00</x:v>
      </x:c>
      <x:c r="K88" s="32" t="n">
        <x:v>4071</x:v>
      </x:c>
      <x:c r="L88" s="32" t="n">
        <x:v>339</x:v>
      </x:c>
      <x:c r="M88" s="32" t="str">
        <x:v>Main comment</x:v>
      </x:c>
      <x:c r="N88" s="32" t="str">
        <x:v>Main comment</x:v>
      </x:c>
      <x:c r="O88" s="32" t="str">
        <x:v>มู้ดของลุคนี้ดูสุภาพแต่ไม่ทำให้ชุดน่าเบื่อเลย เสื้อทรงนี้ถ้าเพิ่มตัวครอบกระดุมสีอ่อนแบบในรูป น่าจะดูหวานขึ้นโดยไม่หลุดโทนค่ะ</x:v>
      </x:c>
      <x:c r="P88" s="32" t="str">
        <x:v>IMG002</x:v>
      </x:c>
      <x:c r="Q88" s="32" t="str">
        <x:v>White shirt with floral fashion-button details at the collar and cuff</x:v>
      </x:c>
      <x:c r="R88" s="32" t="str">
        <x:v>Synthetic context before</x:v>
      </x:c>
      <x:c r="S88" s="32" t="str">
        <x:v>Synthetic context after</x:v>
      </x:c>
      <x:c r="T88" s="32" t="str">
        <x:v>Posted</x:v>
      </x:c>
      <x:c r="U88" s="32" t="str">
        <x:f>IFERROR(VLOOKUP(B88&amp;"|24h",'COMMENT_RECHECK'!$V$5:$Y$204,2,FALSE),"Pending")</x:f>
        <x:v>Visible</x:v>
      </x:c>
      <x:c r="V88" s="32" t="n">
        <x:v>0</x:v>
      </x:c>
      <x:c r="W88" s="32" t="str"/>
      <x:c r="X88" s="32" t="n">
        <x:v>0</x:v>
      </x:c>
      <x:c r="Y88" s="32" t="str">
        <x:v>EVD-SYN-0084-POST</x:v>
      </x:c>
      <x:c r="Z88" s="32" t="str"/>
      <x:c r="AA88" s="32" t="str">
        <x:v>Advanced</x:v>
      </x:c>
      <x:c r="AB88" s="32" t="str">
        <x:v>N/A</x:v>
      </x:c>
      <x:c r="AC88" s="32" t="str">
        <x:v>Neutral</x:v>
      </x:c>
      <x:c r="AD88" s="32" t="str">
        <x:v>TH</x:v>
      </x:c>
      <x:c r="AE88" s="32" t="str">
        <x:v>Yes</x:v>
      </x:c>
      <x:c r="AF88" s="32" t="str">
        <x:v>Standard</x:v>
      </x:c>
      <x:c r="AG88" s="32" t="str">
        <x:v>LIB-004</x:v>
      </x:c>
      <x:c r="AH88" s="32" t="str">
        <x:v>TH</x:v>
      </x:c>
      <x:c r="AI88" s="32" t="str">
        <x:v>Main</x:v>
      </x:c>
      <x:c r="AJ88" s="32" t="str">
        <x:v>None</x:v>
      </x:c>
      <x:c r="AK88" s="32" t="str">
        <x:v>inputs/product_images/IMG002.png</x:v>
      </x:c>
      <x:c r="AL88" s="32" t="str"/>
      <x:c r="AM88" s="32" t="str">
        <x:v>N/A</x:v>
      </x:c>
      <x:c r="AN88" s="32" t="str">
        <x:v>N/A</x:v>
      </x:c>
      <x:c r="AO88" s="32" t="str"/>
      <x:c r="AP88" s="32" t="str">
        <x:v>No</x:v>
      </x:c>
      <x:c r="AQ88" s="32" t="str">
        <x:v>Not Started</x:v>
      </x:c>
      <x:c r="AR88" s="32" t="str">
        <x:v>N/A</x:v>
      </x:c>
      <x:c r="AS88" s="32" t="str">
        <x:f>IFERROR(VLOOKUP(B88&amp;"|24h",'COMMENT_RECHECK'!$V$5:$Y$204,3,FALSE),"")</x:f>
        <x:v>None</x:v>
      </x:c>
      <x:c r="AT88" s="32" t="str">
        <x:v>[SANITIZED]</x:v>
      </x:c>
      <x:c r="AU88" s="32" t="str">
        <x:v>case_account_04</x:v>
      </x:c>
      <x:c r="AV88" s="32" t="str">
        <x:v>[SANITIZED]</x:v>
      </x:c>
      <x:c r="AW88" s="32" t="str">
        <x:v>[SANITIZED]</x:v>
      </x:c>
      <x:c r="AX88" s="32" t="str">
        <x:v>[SANITIZED]</x:v>
      </x:c>
      <x:c r="AY88" s="32" t="str">
        <x:v>Manual Simulation</x:v>
      </x:c>
      <x:c r="AZ88" s="32" t="str">
        <x:v>2026-07-23 12:41</x:v>
      </x:c>
      <x:c r="BA88" s="32" t="str">
        <x:v>2026-07-23 12:41</x:v>
      </x:c>
      <x:c r="BB88" s="32" t="str">
        <x:v>Yes</x:v>
      </x:c>
      <x:c r="BC88" s="32" t="str">
        <x:v>Yes</x:v>
      </x:c>
      <x:c r="BD88" s="32" t="str"/>
      <x:c r="BE88" s="32" t="str"/>
      <x:c r="BF88" s="32" t="str">
        <x:v>No</x:v>
      </x:c>
      <x:c r="BG88" s="32" t="str">
        <x:v>No</x:v>
      </x:c>
      <x:c r="BH88" s="32" t="n">
        <x:v>0</x:v>
      </x:c>
      <x:c r="BI88" s="32" t="str">
        <x:v>24h</x:v>
      </x:c>
      <x:c r="BJ88" s="32" t="str">
        <x:f>IFERROR(VLOOKUP(B88&amp;"|24h",'COMMENT_RECHECK'!$V$5:$Y$204,4,FALSE),"Pending")</x:f>
        <x:v>No Verified User Reply</x:v>
      </x:c>
      <x:c r="BK88" s="33" t="str">
        <x:f>IF(OR(COUNTIF($B$5:$B$104,B88)&gt;1,AND(T88="Posted",BC88&lt;&gt;"Yes"),AND(OR(BJ88="Verified User Reply",BJ88="Mixed Reply"),Y88="")),"Review","OK")</x:f>
        <x:v>OK</x:v>
      </x:c>
    </x:row>
    <x:row r="89">
      <x:c r="A89" s="49" t="n">
        <x:v>46227</x:v>
      </x:c>
      <x:c r="B89" s="32" t="str">
        <x:v>IC-0085</x:v>
      </x:c>
      <x:c r="C89" s="32" t="str">
        <x:v>Account Slot 5</x:v>
      </x:c>
      <x:c r="D89" s="32" t="str">
        <x:v>Synthetic Display 5</x:v>
      </x:c>
      <x:c r="E89" s="32" t="str">
        <x:v>13:48</x:v>
      </x:c>
      <x:c r="F89" s="32" t="str">
        <x:v>creator_case_085</x:v>
      </x:c>
      <x:c r="G89" s="32" t="str">
        <x:v>Fashion</x:v>
      </x:c>
      <x:c r="H89" s="32" t="str">
        <x:v>https://video.invalid/case/V0085</x:v>
      </x:c>
      <x:c r="I89" s="32" t="str">
        <x:v>การซ่อมเสื้อ</x:v>
      </x:c>
      <x:c r="J89" s="32" t="str">
        <x:v>2026-07-20 18:00</x:v>
      </x:c>
      <x:c r="K89" s="32" t="n">
        <x:v>4108</x:v>
      </x:c>
      <x:c r="L89" s="32" t="n">
        <x:v>342</x:v>
      </x:c>
      <x:c r="M89" s="32" t="str">
        <x:v>Reply</x:v>
      </x:c>
      <x:c r="N89" s="32" t="str">
        <x:v>Synthetic parent</x:v>
      </x:c>
      <x:c r="O89" s="32" t="str">
        <x:v>เสื้อคลุมทรงนี้ช่วยให้ชุดดูนุ่มนวลขึ้นพอดีเลย จุดเล็ก ๆ โทนชมพูแบบในรูปทำให้เสื้อขาวดูละมุนและแต่งสนุกขึ้นมาก</x:v>
      </x:c>
      <x:c r="P89" s="32" t="str">
        <x:v>IMG002</x:v>
      </x:c>
      <x:c r="Q89" s="32" t="str">
        <x:v>White shirt with floral fashion-button details at the collar and cuff</x:v>
      </x:c>
      <x:c r="R89" s="32" t="str">
        <x:v>Synthetic context before</x:v>
      </x:c>
      <x:c r="S89" s="32" t="str">
        <x:v>Synthetic context after</x:v>
      </x:c>
      <x:c r="T89" s="32" t="str">
        <x:v>Posted</x:v>
      </x:c>
      <x:c r="U89" s="32" t="str">
        <x:f>IFERROR(VLOOKUP(B89&amp;"|24h",'COMMENT_RECHECK'!$V$5:$Y$204,2,FALSE),"Pending")</x:f>
        <x:v>Visible</x:v>
      </x:c>
      <x:c r="V89" s="32" t="n">
        <x:v>1</x:v>
      </x:c>
      <x:c r="W89" s="32" t="str">
        <x:v>Synthetic reply preview</x:v>
      </x:c>
      <x:c r="X89" s="32" t="n">
        <x:v>0</x:v>
      </x:c>
      <x:c r="Y89" s="32" t="str">
        <x:v>EVD-SYN-0085-POST</x:v>
      </x:c>
      <x:c r="Z89" s="32" t="str"/>
      <x:c r="AA89" s="32" t="str">
        <x:v>Advanced</x:v>
      </x:c>
      <x:c r="AB89" s="32" t="str">
        <x:v>N/A</x:v>
      </x:c>
      <x:c r="AC89" s="32" t="str">
        <x:v>Styled</x:v>
      </x:c>
      <x:c r="AD89" s="32" t="str">
        <x:v>TH</x:v>
      </x:c>
      <x:c r="AE89" s="32" t="str">
        <x:v>Yes</x:v>
      </x:c>
      <x:c r="AF89" s="32" t="str">
        <x:v>Standard</x:v>
      </x:c>
      <x:c r="AG89" s="32" t="str">
        <x:v>LIB-005</x:v>
      </x:c>
      <x:c r="AH89" s="32" t="str">
        <x:v>TH</x:v>
      </x:c>
      <x:c r="AI89" s="32" t="str">
        <x:v>Reply</x:v>
      </x:c>
      <x:c r="AJ89" s="32" t="str">
        <x:v>Reference</x:v>
      </x:c>
      <x:c r="AK89" s="32" t="str">
        <x:v>inputs/product_images/IMG002.png</x:v>
      </x:c>
      <x:c r="AL89" s="32" t="str"/>
      <x:c r="AM89" s="32" t="str">
        <x:v>Yes</x:v>
      </x:c>
      <x:c r="AN89" s="32" t="str">
        <x:v>Complete</x:v>
      </x:c>
      <x:c r="AO89" s="32" t="str"/>
      <x:c r="AP89" s="32" t="str">
        <x:v>Potential</x:v>
      </x:c>
      <x:c r="AQ89" s="32" t="str">
        <x:v>Not Started</x:v>
      </x:c>
      <x:c r="AR89" s="32" t="str">
        <x:v>Fit</x:v>
      </x:c>
      <x:c r="AS89" s="32" t="str">
        <x:f>IFERROR(VLOOKUP(B89&amp;"|24h",'COMMENT_RECHECK'!$V$5:$Y$204,3,FALSE),"")</x:f>
        <x:v>User</x:v>
      </x:c>
      <x:c r="AT89" s="32" t="str">
        <x:v>[SANITIZED]</x:v>
      </x:c>
      <x:c r="AU89" s="32" t="str">
        <x:v>case_account_05</x:v>
      </x:c>
      <x:c r="AV89" s="32" t="str">
        <x:v>[SANITIZED]</x:v>
      </x:c>
      <x:c r="AW89" s="32" t="str">
        <x:v>[SANITIZED]</x:v>
      </x:c>
      <x:c r="AX89" s="32" t="str">
        <x:v>[SANITIZED]</x:v>
      </x:c>
      <x:c r="AY89" s="32" t="str">
        <x:v>Manual Simulation</x:v>
      </x:c>
      <x:c r="AZ89" s="32" t="str">
        <x:v>2026-07-23 13:48</x:v>
      </x:c>
      <x:c r="BA89" s="32" t="str">
        <x:v>2026-07-23 13:48</x:v>
      </x:c>
      <x:c r="BB89" s="32" t="str">
        <x:v>Yes</x:v>
      </x:c>
      <x:c r="BC89" s="32" t="str">
        <x:v>Yes</x:v>
      </x:c>
      <x:c r="BD89" s="32" t="str"/>
      <x:c r="BE89" s="32" t="str"/>
      <x:c r="BF89" s="32" t="str">
        <x:v>No</x:v>
      </x:c>
      <x:c r="BG89" s="32" t="str">
        <x:v>No</x:v>
      </x:c>
      <x:c r="BH89" s="32" t="n">
        <x:v>0</x:v>
      </x:c>
      <x:c r="BI89" s="32" t="str">
        <x:v>24h</x:v>
      </x:c>
      <x:c r="BJ89" s="32" t="str">
        <x:f>IFERROR(VLOOKUP(B89&amp;"|24h",'COMMENT_RECHECK'!$V$5:$Y$204,4,FALSE),"Pending")</x:f>
        <x:v>Verified User Reply</x:v>
      </x:c>
      <x:c r="BK89" s="33" t="str">
        <x:f>IF(OR(COUNTIF($B$5:$B$104,B89)&gt;1,AND(T89="Posted",BC89&lt;&gt;"Yes"),AND(OR(BJ89="Verified User Reply",BJ89="Mixed Reply"),Y89="")),"Review","OK")</x:f>
        <x:v>OK</x:v>
      </x:c>
    </x:row>
    <x:row r="90">
      <x:c r="A90" s="49" t="n">
        <x:v>46227</x:v>
      </x:c>
      <x:c r="B90" s="32" t="str">
        <x:v>IC-0086</x:v>
      </x:c>
      <x:c r="C90" s="32" t="str">
        <x:v>Account Slot 6</x:v>
      </x:c>
      <x:c r="D90" s="32" t="str">
        <x:v>Synthetic Display 6</x:v>
      </x:c>
      <x:c r="E90" s="32" t="str">
        <x:v>14:55</x:v>
      </x:c>
      <x:c r="F90" s="32" t="str">
        <x:v>creator_case_086</x:v>
      </x:c>
      <x:c r="G90" s="32" t="str">
        <x:v>DIY</x:v>
      </x:c>
      <x:c r="H90" s="32" t="str">
        <x:v>https://video.invalid/case/V0086</x:v>
      </x:c>
      <x:c r="I90" s="32" t="str">
        <x:v>แฟชั่นวินเทจ</x:v>
      </x:c>
      <x:c r="J90" s="32" t="str">
        <x:v>2026-07-20 18:00</x:v>
      </x:c>
      <x:c r="K90" s="32" t="n">
        <x:v>4145</x:v>
      </x:c>
      <x:c r="L90" s="32" t="n">
        <x:v>345</x:v>
      </x:c>
      <x:c r="M90" s="32" t="str">
        <x:v>Main comment</x:v>
      </x:c>
      <x:c r="N90" s="32" t="str">
        <x:v>Main comment</x:v>
      </x:c>
      <x:c r="O90" s="32" t="str">
        <x:v>ชุดนี้แต่งตามง่ายและเหมาะกับหลายโอกาสจริงค่ะ ถ้าเล่นลูกเล่นกระดุมดอกไม้เล็ก ๆ แบบในรูป ช่วงบนของลุคน่าจะเด่นขึ้นพอดีค่ะ</x:v>
      </x:c>
      <x:c r="P90" s="32" t="str">
        <x:v>IMG002</x:v>
      </x:c>
      <x:c r="Q90" s="32" t="str">
        <x:v>White shirt with floral fashion-button details at the collar and cuff</x:v>
      </x:c>
      <x:c r="R90" s="32" t="str">
        <x:v>Synthetic context before</x:v>
      </x:c>
      <x:c r="S90" s="32" t="str">
        <x:v>Synthetic context after</x:v>
      </x:c>
      <x:c r="T90" s="32" t="str">
        <x:v>Posted</x:v>
      </x:c>
      <x:c r="U90" s="32" t="str">
        <x:f>IFERROR(VLOOKUP(B90&amp;"|24h",'COMMENT_RECHECK'!$V$5:$Y$204,2,FALSE),"Pending")</x:f>
        <x:v>Missing</x:v>
      </x:c>
      <x:c r="V90" s="32" t="n">
        <x:v>0</x:v>
      </x:c>
      <x:c r="W90" s="32" t="str"/>
      <x:c r="X90" s="32" t="n">
        <x:v>0</x:v>
      </x:c>
      <x:c r="Y90" s="32" t="str">
        <x:v>EVD-SYN-0086-POST</x:v>
      </x:c>
      <x:c r="Z90" s="32" t="str"/>
      <x:c r="AA90" s="32" t="str">
        <x:v>Advanced</x:v>
      </x:c>
      <x:c r="AB90" s="32" t="str">
        <x:v>N/A</x:v>
      </x:c>
      <x:c r="AC90" s="32" t="str">
        <x:v>Neutral</x:v>
      </x:c>
      <x:c r="AD90" s="32" t="str">
        <x:v>TH</x:v>
      </x:c>
      <x:c r="AE90" s="32" t="str">
        <x:v>Yes</x:v>
      </x:c>
      <x:c r="AF90" s="32" t="str">
        <x:v>Standard</x:v>
      </x:c>
      <x:c r="AG90" s="32" t="str">
        <x:v>LIB-006</x:v>
      </x:c>
      <x:c r="AH90" s="32" t="str">
        <x:v>TH</x:v>
      </x:c>
      <x:c r="AI90" s="32" t="str">
        <x:v>Main</x:v>
      </x:c>
      <x:c r="AJ90" s="32" t="str">
        <x:v>None</x:v>
      </x:c>
      <x:c r="AK90" s="32" t="str">
        <x:v>inputs/product_images/IMG002.png</x:v>
      </x:c>
      <x:c r="AL90" s="32" t="str"/>
      <x:c r="AM90" s="32" t="str">
        <x:v>N/A</x:v>
      </x:c>
      <x:c r="AN90" s="32" t="str">
        <x:v>N/A</x:v>
      </x:c>
      <x:c r="AO90" s="32" t="str"/>
      <x:c r="AP90" s="32" t="str">
        <x:v>No</x:v>
      </x:c>
      <x:c r="AQ90" s="32" t="str">
        <x:v>Not Started</x:v>
      </x:c>
      <x:c r="AR90" s="32" t="str">
        <x:v>N/A</x:v>
      </x:c>
      <x:c r="AS90" s="32" t="str">
        <x:f>IFERROR(VLOOKUP(B90&amp;"|24h",'COMMENT_RECHECK'!$V$5:$Y$204,3,FALSE),"")</x:f>
        <x:v>None</x:v>
      </x:c>
      <x:c r="AT90" s="32" t="str">
        <x:v>[SANITIZED]</x:v>
      </x:c>
      <x:c r="AU90" s="32" t="str">
        <x:v>case_account_06</x:v>
      </x:c>
      <x:c r="AV90" s="32" t="str">
        <x:v>[SANITIZED]</x:v>
      </x:c>
      <x:c r="AW90" s="32" t="str">
        <x:v>[SANITIZED]</x:v>
      </x:c>
      <x:c r="AX90" s="32" t="str">
        <x:v>[SANITIZED]</x:v>
      </x:c>
      <x:c r="AY90" s="32" t="str">
        <x:v>Manual Simulation</x:v>
      </x:c>
      <x:c r="AZ90" s="32" t="str">
        <x:v>2026-07-23 14:55</x:v>
      </x:c>
      <x:c r="BA90" s="32" t="str">
        <x:v>2026-07-23 14:55</x:v>
      </x:c>
      <x:c r="BB90" s="32" t="str">
        <x:v>Yes</x:v>
      </x:c>
      <x:c r="BC90" s="32" t="str">
        <x:v>Yes</x:v>
      </x:c>
      <x:c r="BD90" s="32" t="str"/>
      <x:c r="BE90" s="32" t="str"/>
      <x:c r="BF90" s="32" t="str">
        <x:v>No</x:v>
      </x:c>
      <x:c r="BG90" s="32" t="str">
        <x:v>No</x:v>
      </x:c>
      <x:c r="BH90" s="32" t="n">
        <x:v>0</x:v>
      </x:c>
      <x:c r="BI90" s="32" t="str">
        <x:v>24h</x:v>
      </x:c>
      <x:c r="BJ90" s="32" t="str">
        <x:f>IFERROR(VLOOKUP(B90&amp;"|24h",'COMMENT_RECHECK'!$V$5:$Y$204,4,FALSE),"Pending")</x:f>
        <x:v>No Verified User Reply</x:v>
      </x:c>
      <x:c r="BK90" s="33" t="str">
        <x:f>IF(OR(COUNTIF($B$5:$B$104,B90)&gt;1,AND(T90="Posted",BC90&lt;&gt;"Yes"),AND(OR(BJ90="Verified User Reply",BJ90="Mixed Reply"),Y90="")),"Review","OK")</x:f>
        <x:v>OK</x:v>
      </x:c>
    </x:row>
    <x:row r="91">
      <x:c r="A91" s="49" t="n">
        <x:v>46227</x:v>
      </x:c>
      <x:c r="B91" s="32" t="str">
        <x:v>IC-0087</x:v>
      </x:c>
      <x:c r="C91" s="32" t="str">
        <x:v>Account Slot 7</x:v>
      </x:c>
      <x:c r="D91" s="32" t="str">
        <x:v>Synthetic Display 7</x:v>
      </x:c>
      <x:c r="E91" s="32" t="str">
        <x:v>15:02</x:v>
      </x:c>
      <x:c r="F91" s="32" t="str">
        <x:v>creator_case_087</x:v>
      </x:c>
      <x:c r="G91" s="32" t="str">
        <x:v>Lifestyle</x:v>
      </x:c>
      <x:c r="H91" s="32" t="str">
        <x:v>https://video.invalid/case/V0087</x:v>
      </x:c>
      <x:c r="I91" s="32" t="str">
        <x:v>เสื้อเด็ก</x:v>
      </x:c>
      <x:c r="J91" s="32" t="str">
        <x:v>2026-07-20 18:00</x:v>
      </x:c>
      <x:c r="K91" s="32" t="n">
        <x:v>4182</x:v>
      </x:c>
      <x:c r="L91" s="32" t="n">
        <x:v>348</x:v>
      </x:c>
      <x:c r="M91" s="32" t="str">
        <x:v>Main comment</x:v>
      </x:c>
      <x:c r="N91" s="32" t="str">
        <x:v>Main comment</x:v>
      </x:c>
      <x:c r="O91" s="32" t="str">
        <x:v>ลุคทำงานนี้ดูสุภาพและใช้งานจริงได้มากค่ะ จุดเล็ก ๆ โทนชมพูแบบในรูปทำให้เสื้อขาวดูละมุนและแต่งสนุกขึ้นมาก</x:v>
      </x:c>
      <x:c r="P91" s="32" t="str">
        <x:v>IMG002</x:v>
      </x:c>
      <x:c r="Q91" s="32" t="str">
        <x:v>White shirt with floral fashion-button details at the collar and cuff</x:v>
      </x:c>
      <x:c r="R91" s="32" t="str">
        <x:v>Synthetic context before</x:v>
      </x:c>
      <x:c r="S91" s="32" t="str">
        <x:v>Synthetic context after</x:v>
      </x:c>
      <x:c r="T91" s="32" t="str">
        <x:v>Posted</x:v>
      </x:c>
      <x:c r="U91" s="32" t="str">
        <x:f>IFERROR(VLOOKUP(B91&amp;"|24h",'COMMENT_RECHECK'!$V$5:$Y$204,2,FALSE),"Pending")</x:f>
        <x:v>Visible</x:v>
      </x:c>
      <x:c r="V91" s="32" t="n">
        <x:v>0</x:v>
      </x:c>
      <x:c r="W91" s="32" t="str"/>
      <x:c r="X91" s="32" t="n">
        <x:v>0</x:v>
      </x:c>
      <x:c r="Y91" s="32" t="str">
        <x:v>EVD-SYN-0087-POST</x:v>
      </x:c>
      <x:c r="Z91" s="32" t="str"/>
      <x:c r="AA91" s="32" t="str">
        <x:v>Advanced</x:v>
      </x:c>
      <x:c r="AB91" s="32" t="str">
        <x:v>N/A</x:v>
      </x:c>
      <x:c r="AC91" s="32" t="str">
        <x:v>Styled</x:v>
      </x:c>
      <x:c r="AD91" s="32" t="str">
        <x:v>TH</x:v>
      </x:c>
      <x:c r="AE91" s="32" t="str">
        <x:v>Yes</x:v>
      </x:c>
      <x:c r="AF91" s="32" t="str">
        <x:v>Standard</x:v>
      </x:c>
      <x:c r="AG91" s="32" t="str">
        <x:v>LIB-007</x:v>
      </x:c>
      <x:c r="AH91" s="32" t="str">
        <x:v>TH</x:v>
      </x:c>
      <x:c r="AI91" s="32" t="str">
        <x:v>Main</x:v>
      </x:c>
      <x:c r="AJ91" s="32" t="str">
        <x:v>None</x:v>
      </x:c>
      <x:c r="AK91" s="32" t="str">
        <x:v>inputs/product_images/IMG002.png</x:v>
      </x:c>
      <x:c r="AL91" s="32" t="str"/>
      <x:c r="AM91" s="32" t="str">
        <x:v>N/A</x:v>
      </x:c>
      <x:c r="AN91" s="32" t="str">
        <x:v>N/A</x:v>
      </x:c>
      <x:c r="AO91" s="32" t="str"/>
      <x:c r="AP91" s="32" t="str">
        <x:v>No</x:v>
      </x:c>
      <x:c r="AQ91" s="32" t="str">
        <x:v>Not Started</x:v>
      </x:c>
      <x:c r="AR91" s="32" t="str">
        <x:v>N/A</x:v>
      </x:c>
      <x:c r="AS91" s="32" t="str">
        <x:f>IFERROR(VLOOKUP(B91&amp;"|24h",'COMMENT_RECHECK'!$V$5:$Y$204,3,FALSE),"")</x:f>
        <x:v>None</x:v>
      </x:c>
      <x:c r="AT91" s="32" t="str">
        <x:v>[SANITIZED]</x:v>
      </x:c>
      <x:c r="AU91" s="32" t="str">
        <x:v>case_account_07</x:v>
      </x:c>
      <x:c r="AV91" s="32" t="str">
        <x:v>[SANITIZED]</x:v>
      </x:c>
      <x:c r="AW91" s="32" t="str">
        <x:v>[SANITIZED]</x:v>
      </x:c>
      <x:c r="AX91" s="32" t="str">
        <x:v>[SANITIZED]</x:v>
      </x:c>
      <x:c r="AY91" s="32" t="str">
        <x:v>Manual Simulation</x:v>
      </x:c>
      <x:c r="AZ91" s="32" t="str">
        <x:v>2026-07-23 15:02</x:v>
      </x:c>
      <x:c r="BA91" s="32" t="str">
        <x:v>2026-07-23 15:02</x:v>
      </x:c>
      <x:c r="BB91" s="32" t="str">
        <x:v>Yes</x:v>
      </x:c>
      <x:c r="BC91" s="32" t="str">
        <x:v>Yes</x:v>
      </x:c>
      <x:c r="BD91" s="32" t="str"/>
      <x:c r="BE91" s="32" t="str"/>
      <x:c r="BF91" s="32" t="str">
        <x:v>No</x:v>
      </x:c>
      <x:c r="BG91" s="32" t="str">
        <x:v>No</x:v>
      </x:c>
      <x:c r="BH91" s="32" t="n">
        <x:v>0</x:v>
      </x:c>
      <x:c r="BI91" s="32" t="str">
        <x:v>24h</x:v>
      </x:c>
      <x:c r="BJ91" s="32" t="str">
        <x:f>IFERROR(VLOOKUP(B91&amp;"|24h",'COMMENT_RECHECK'!$V$5:$Y$204,4,FALSE),"Pending")</x:f>
        <x:v>No Verified User Reply</x:v>
      </x:c>
      <x:c r="BK91" s="33" t="str">
        <x:f>IF(OR(COUNTIF($B$5:$B$104,B91)&gt;1,AND(T91="Posted",BC91&lt;&gt;"Yes"),AND(OR(BJ91="Verified User Reply",BJ91="Mixed Reply"),Y91="")),"Review","OK")</x:f>
        <x:v>OK</x:v>
      </x:c>
    </x:row>
    <x:row r="92">
      <x:c r="A92" s="49" t="n">
        <x:v>46227</x:v>
      </x:c>
      <x:c r="B92" s="32" t="str">
        <x:v>IC-0088</x:v>
      </x:c>
      <x:c r="C92" s="32" t="str">
        <x:v>Account Slot 8</x:v>
      </x:c>
      <x:c r="D92" s="32" t="str">
        <x:v>Synthetic Display 8</x:v>
      </x:c>
      <x:c r="E92" s="32" t="str">
        <x:v>16:09</x:v>
      </x:c>
      <x:c r="F92" s="32" t="str">
        <x:v>creator_case_088</x:v>
      </x:c>
      <x:c r="G92" s="32" t="str">
        <x:v>Tailoring</x:v>
      </x:c>
      <x:c r="H92" s="32" t="str">
        <x:v>https://video.invalid/case/V0088</x:v>
      </x:c>
      <x:c r="I92" s="32" t="str">
        <x:v>เสื้อคลุม</x:v>
      </x:c>
      <x:c r="J92" s="32" t="str">
        <x:v>2026-07-20 18:00</x:v>
      </x:c>
      <x:c r="K92" s="32" t="n">
        <x:v>4219</x:v>
      </x:c>
      <x:c r="L92" s="32" t="n">
        <x:v>351</x:v>
      </x:c>
      <x:c r="M92" s="32" t="str">
        <x:v>Main comment</x:v>
      </x:c>
      <x:c r="N92" s="32" t="str">
        <x:v>Main comment</x:v>
      </x:c>
      <x:c r="O92" s="32" t="str">
        <x:v>ลิงก์หน้าโปรไฟล์ ลดราคา รีบซื้อก่อนหมด</x:v>
      </x:c>
      <x:c r="P92" s="32" t="str">
        <x:v>IMG002</x:v>
      </x:c>
      <x:c r="Q92" s="32" t="str">
        <x:v>White shirt with floral fashion-button details at the collar and cuff</x:v>
      </x:c>
      <x:c r="R92" s="32" t="str">
        <x:v>Synthetic context before</x:v>
      </x:c>
      <x:c r="S92" s="32" t="str">
        <x:v>Synthetic context after</x:v>
      </x:c>
      <x:c r="T92" s="32" t="str">
        <x:v>Posted</x:v>
      </x:c>
      <x:c r="U92" s="32" t="str">
        <x:f>IFERROR(VLOOKUP(B92&amp;"|24h",'COMMENT_RECHECK'!$V$5:$Y$204,2,FALSE),"Pending")</x:f>
        <x:v>Visible</x:v>
      </x:c>
      <x:c r="V92" s="32" t="n">
        <x:v>2</x:v>
      </x:c>
      <x:c r="W92" s="32" t="str">
        <x:v>Synthetic reply preview</x:v>
      </x:c>
      <x:c r="X92" s="32" t="n">
        <x:v>0</x:v>
      </x:c>
      <x:c r="Y92" s="32" t="str">
        <x:v>EVD-SYN-0088-POST</x:v>
      </x:c>
      <x:c r="Z92" s="32" t="str"/>
      <x:c r="AA92" s="32" t="str">
        <x:v>Advanced</x:v>
      </x:c>
      <x:c r="AB92" s="32" t="str">
        <x:v>N/A</x:v>
      </x:c>
      <x:c r="AC92" s="32" t="str">
        <x:v>Neutral</x:v>
      </x:c>
      <x:c r="AD92" s="32" t="str">
        <x:v>TH</x:v>
      </x:c>
      <x:c r="AE92" s="32" t="str">
        <x:v>Yes</x:v>
      </x:c>
      <x:c r="AF92" s="32" t="str">
        <x:v>Standard</x:v>
      </x:c>
      <x:c r="AG92" s="32" t="str">
        <x:v>LIB-008</x:v>
      </x:c>
      <x:c r="AH92" s="32" t="str">
        <x:v>TH</x:v>
      </x:c>
      <x:c r="AI92" s="32" t="str">
        <x:v>Main</x:v>
      </x:c>
      <x:c r="AJ92" s="32" t="str">
        <x:v>None</x:v>
      </x:c>
      <x:c r="AK92" s="32" t="str">
        <x:v>inputs/product_images/IMG002.png</x:v>
      </x:c>
      <x:c r="AL92" s="32" t="str"/>
      <x:c r="AM92" s="32" t="str">
        <x:v>N/A</x:v>
      </x:c>
      <x:c r="AN92" s="32" t="str">
        <x:v>N/A</x:v>
      </x:c>
      <x:c r="AO92" s="32" t="str"/>
      <x:c r="AP92" s="32" t="str">
        <x:v>Potential</x:v>
      </x:c>
      <x:c r="AQ92" s="32" t="str">
        <x:v>Not Started</x:v>
      </x:c>
      <x:c r="AR92" s="32" t="str">
        <x:v>N/A</x:v>
      </x:c>
      <x:c r="AS92" s="32" t="str">
        <x:f>IFERROR(VLOOKUP(B92&amp;"|24h",'COMMENT_RECHECK'!$V$5:$Y$204,3,FALSE),"")</x:f>
        <x:v>Creator</x:v>
      </x:c>
      <x:c r="AT92" s="32" t="str">
        <x:v>[SANITIZED]</x:v>
      </x:c>
      <x:c r="AU92" s="32" t="str">
        <x:v>case_account_08</x:v>
      </x:c>
      <x:c r="AV92" s="32" t="str">
        <x:v>[SANITIZED]</x:v>
      </x:c>
      <x:c r="AW92" s="32" t="str">
        <x:v>[SANITIZED]</x:v>
      </x:c>
      <x:c r="AX92" s="32" t="str">
        <x:v>[SANITIZED]</x:v>
      </x:c>
      <x:c r="AY92" s="32" t="str">
        <x:v>Manual Simulation</x:v>
      </x:c>
      <x:c r="AZ92" s="32" t="str">
        <x:v>2026-07-23 16:09</x:v>
      </x:c>
      <x:c r="BA92" s="32" t="str">
        <x:v>2026-07-23 16:09</x:v>
      </x:c>
      <x:c r="BB92" s="32" t="str">
        <x:v>Yes</x:v>
      </x:c>
      <x:c r="BC92" s="32" t="str">
        <x:v>Yes</x:v>
      </x:c>
      <x:c r="BD92" s="32" t="str"/>
      <x:c r="BE92" s="32" t="str"/>
      <x:c r="BF92" s="32" t="str">
        <x:v>No</x:v>
      </x:c>
      <x:c r="BG92" s="32" t="str">
        <x:v>No</x:v>
      </x:c>
      <x:c r="BH92" s="32" t="n">
        <x:v>0</x:v>
      </x:c>
      <x:c r="BI92" s="32" t="str">
        <x:v>24h</x:v>
      </x:c>
      <x:c r="BJ92" s="32" t="str">
        <x:f>IFERROR(VLOOKUP(B92&amp;"|24h",'COMMENT_RECHECK'!$V$5:$Y$204,4,FALSE),"Pending")</x:f>
        <x:v>No Verified User Reply</x:v>
      </x:c>
      <x:c r="BK92" s="33" t="str">
        <x:f>IF(OR(COUNTIF($B$5:$B$104,B92)&gt;1,AND(T92="Posted",BC92&lt;&gt;"Yes"),AND(OR(BJ92="Verified User Reply",BJ92="Mixed Reply"),Y92="")),"Review","OK")</x:f>
        <x:v>OK</x:v>
      </x:c>
    </x:row>
    <x:row r="93">
      <x:c r="A93" s="49" t="n">
        <x:v>46227</x:v>
      </x:c>
      <x:c r="B93" s="32" t="str">
        <x:v>IC-0089</x:v>
      </x:c>
      <x:c r="C93" s="32" t="str">
        <x:v>Account Slot 9</x:v>
      </x:c>
      <x:c r="D93" s="32" t="str">
        <x:v>Synthetic Display 9</x:v>
      </x:c>
      <x:c r="E93" s="32" t="str">
        <x:v>17:16</x:v>
      </x:c>
      <x:c r="F93" s="32" t="str">
        <x:v>creator_case_089</x:v>
      </x:c>
      <x:c r="G93" s="32" t="str">
        <x:v>Fashion</x:v>
      </x:c>
      <x:c r="H93" s="32" t="str">
        <x:v>https://video.invalid/case/V0089</x:v>
      </x:c>
      <x:c r="I93" s="32" t="str">
        <x:v>การจับคู่สี</x:v>
      </x:c>
      <x:c r="J93" s="32" t="str">
        <x:v>2026-07-20 18:00</x:v>
      </x:c>
      <x:c r="K93" s="32" t="n">
        <x:v>4256</x:v>
      </x:c>
      <x:c r="L93" s="32" t="n">
        <x:v>354</x:v>
      </x:c>
      <x:c r="M93" s="32" t="str">
        <x:v>Reply</x:v>
      </x:c>
      <x:c r="N93" s="32" t="str">
        <x:v>Synthetic parent</x:v>
      </x:c>
      <x:c r="O93" s="32" t="str">
        <x:v>มู้ด working woman แบบนี้ดูแพงและมีคาแรกเตอร์มาก รายละเอียดเล็กบนปกแบบในรูปช่วยเพิ่มคาแรกเตอร์ให้ลุคประชุมโดยยังดูสุภาพค่ะ</x:v>
      </x:c>
      <x:c r="P93" s="32" t="str">
        <x:v>IMG004</x:v>
      </x:c>
      <x:c r="Q93" s="32" t="str">
        <x:v>Polished black blazer look with pearl and monochrome fashion-button details</x:v>
      </x:c>
      <x:c r="R93" s="32" t="str">
        <x:v>Synthetic context before</x:v>
      </x:c>
      <x:c r="S93" s="32" t="str">
        <x:v>Synthetic context after</x:v>
      </x:c>
      <x:c r="T93" s="32" t="str">
        <x:v>Posted</x:v>
      </x:c>
      <x:c r="U93" s="32" t="str">
        <x:f>IFERROR(VLOOKUP(B93&amp;"|24h",'COMMENT_RECHECK'!$V$5:$Y$204,2,FALSE),"Pending")</x:f>
        <x:v>Visible</x:v>
      </x:c>
      <x:c r="V93" s="32" t="n">
        <x:v>1</x:v>
      </x:c>
      <x:c r="W93" s="32" t="str">
        <x:v>Synthetic reply preview</x:v>
      </x:c>
      <x:c r="X93" s="32" t="n">
        <x:v>0</x:v>
      </x:c>
      <x:c r="Y93" s="32" t="str">
        <x:v>EVD-SYN-0089-POST</x:v>
      </x:c>
      <x:c r="Z93" s="32" t="str"/>
      <x:c r="AA93" s="32" t="str">
        <x:v>Advanced</x:v>
      </x:c>
      <x:c r="AB93" s="32" t="str">
        <x:v>N/A</x:v>
      </x:c>
      <x:c r="AC93" s="32" t="str">
        <x:v>Styled</x:v>
      </x:c>
      <x:c r="AD93" s="32" t="str">
        <x:v>TH</x:v>
      </x:c>
      <x:c r="AE93" s="32" t="str">
        <x:v>Yes</x:v>
      </x:c>
      <x:c r="AF93" s="32" t="str">
        <x:v>Standard</x:v>
      </x:c>
      <x:c r="AG93" s="32" t="str">
        <x:v>LIB-009</x:v>
      </x:c>
      <x:c r="AH93" s="32" t="str">
        <x:v>TH</x:v>
      </x:c>
      <x:c r="AI93" s="32" t="str">
        <x:v>Reply</x:v>
      </x:c>
      <x:c r="AJ93" s="32" t="str">
        <x:v>None</x:v>
      </x:c>
      <x:c r="AK93" s="32" t="str">
        <x:v>inputs/product_images/IMG004.png</x:v>
      </x:c>
      <x:c r="AL93" s="32" t="str"/>
      <x:c r="AM93" s="32" t="str">
        <x:v>N/A</x:v>
      </x:c>
      <x:c r="AN93" s="32" t="str">
        <x:v>N/A</x:v>
      </x:c>
      <x:c r="AO93" s="32" t="str"/>
      <x:c r="AP93" s="32" t="str">
        <x:v>No</x:v>
      </x:c>
      <x:c r="AQ93" s="32" t="str">
        <x:v>Not Started</x:v>
      </x:c>
      <x:c r="AR93" s="32" t="str">
        <x:v>N/A</x:v>
      </x:c>
      <x:c r="AS93" s="32" t="str">
        <x:f>IFERROR(VLOOKUP(B93&amp;"|24h",'COMMENT_RECHECK'!$V$5:$Y$204,3,FALSE),"")</x:f>
        <x:v>Creator</x:v>
      </x:c>
      <x:c r="AT93" s="32" t="str">
        <x:v>[SANITIZED]</x:v>
      </x:c>
      <x:c r="AU93" s="32" t="str">
        <x:v>case_account_09</x:v>
      </x:c>
      <x:c r="AV93" s="32" t="str">
        <x:v>[SANITIZED]</x:v>
      </x:c>
      <x:c r="AW93" s="32" t="str">
        <x:v>[SANITIZED]</x:v>
      </x:c>
      <x:c r="AX93" s="32" t="str">
        <x:v>[SANITIZED]</x:v>
      </x:c>
      <x:c r="AY93" s="32" t="str">
        <x:v>Manual Simulation</x:v>
      </x:c>
      <x:c r="AZ93" s="32" t="str">
        <x:v>2026-07-23 17:16</x:v>
      </x:c>
      <x:c r="BA93" s="32" t="str">
        <x:v>2026-07-23 17:16</x:v>
      </x:c>
      <x:c r="BB93" s="32" t="str">
        <x:v>Yes</x:v>
      </x:c>
      <x:c r="BC93" s="32" t="str">
        <x:v>Yes</x:v>
      </x:c>
      <x:c r="BD93" s="32" t="str"/>
      <x:c r="BE93" s="32" t="str"/>
      <x:c r="BF93" s="32" t="str">
        <x:v>No</x:v>
      </x:c>
      <x:c r="BG93" s="32" t="str">
        <x:v>No</x:v>
      </x:c>
      <x:c r="BH93" s="32" t="n">
        <x:v>0</x:v>
      </x:c>
      <x:c r="BI93" s="32" t="str">
        <x:v>24h</x:v>
      </x:c>
      <x:c r="BJ93" s="32" t="str">
        <x:f>IFERROR(VLOOKUP(B93&amp;"|24h",'COMMENT_RECHECK'!$V$5:$Y$204,4,FALSE),"Pending")</x:f>
        <x:v>No Verified User Reply</x:v>
      </x:c>
      <x:c r="BK93" s="33" t="str">
        <x:f>IF(OR(COUNTIF($B$5:$B$104,B93)&gt;1,AND(T93="Posted",BC93&lt;&gt;"Yes"),AND(OR(BJ93="Verified User Reply",BJ93="Mixed Reply"),Y93="")),"Review","OK")</x:f>
        <x:v>OK</x:v>
      </x:c>
    </x:row>
    <x:row r="94">
      <x:c r="A94" s="49" t="n">
        <x:v>46227</x:v>
      </x:c>
      <x:c r="B94" s="32" t="str">
        <x:v>IC-0090</x:v>
      </x:c>
      <x:c r="C94" s="32" t="str">
        <x:v>Account Slot 10</x:v>
      </x:c>
      <x:c r="D94" s="32" t="str">
        <x:v>Synthetic Display 10</x:v>
      </x:c>
      <x:c r="E94" s="32" t="str">
        <x:v>18:23</x:v>
      </x:c>
      <x:c r="F94" s="32" t="str">
        <x:v>creator_case_090</x:v>
      </x:c>
      <x:c r="G94" s="32" t="str">
        <x:v>DIY</x:v>
      </x:c>
      <x:c r="H94" s="32" t="str">
        <x:v>https://video.invalid/case/V0090</x:v>
      </x:c>
      <x:c r="I94" s="32" t="str">
        <x:v>รีวิวงานฝีมือ</x:v>
      </x:c>
      <x:c r="J94" s="32" t="str">
        <x:v>2026-07-20 18:00</x:v>
      </x:c>
      <x:c r="K94" s="32" t="n">
        <x:v>4293</x:v>
      </x:c>
      <x:c r="L94" s="32" t="n">
        <x:v>357</x:v>
      </x:c>
      <x:c r="M94" s="32" t="str">
        <x:v>Main comment</x:v>
      </x:c>
      <x:c r="N94" s="32" t="str">
        <x:v>Main comment</x:v>
      </x:c>
      <x:c r="O94" s="32" t="str">
        <x:v>ลุคคาร์ดิแกนนี้น่ารักและดูแต่งตามได้จริงมากค่ะ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P94" s="32" t="str">
        <x:v>IMG002</x:v>
      </x:c>
      <x:c r="Q94" s="32" t="str">
        <x:v>White shirt with floral fashion-button details at the collar and cuff</x:v>
      </x:c>
      <x:c r="R94" s="32" t="str">
        <x:v>Synthetic context before</x:v>
      </x:c>
      <x:c r="S94" s="32" t="str">
        <x:v>Synthetic context after</x:v>
      </x:c>
      <x:c r="T94" s="32" t="str">
        <x:v>Posted</x:v>
      </x:c>
      <x:c r="U94" s="32" t="str">
        <x:f>IFERROR(VLOOKUP(B94&amp;"|24h",'COMMENT_RECHECK'!$V$5:$Y$204,2,FALSE),"Pending")</x:f>
        <x:v>Visible</x:v>
      </x:c>
      <x:c r="V94" s="32" t="n">
        <x:v>0</x:v>
      </x:c>
      <x:c r="W94" s="32" t="str"/>
      <x:c r="X94" s="32" t="n">
        <x:v>0</x:v>
      </x:c>
      <x:c r="Y94" s="32" t="str">
        <x:v>EVD-SYN-0090-POST</x:v>
      </x:c>
      <x:c r="Z94" s="32" t="str"/>
      <x:c r="AA94" s="32" t="str">
        <x:v>Advanced</x:v>
      </x:c>
      <x:c r="AB94" s="32" t="str">
        <x:v>N/A</x:v>
      </x:c>
      <x:c r="AC94" s="32" t="str">
        <x:v>Neutral</x:v>
      </x:c>
      <x:c r="AD94" s="32" t="str">
        <x:v>TH</x:v>
      </x:c>
      <x:c r="AE94" s="32" t="str">
        <x:v>Yes</x:v>
      </x:c>
      <x:c r="AF94" s="32" t="str">
        <x:v>Standard</x:v>
      </x:c>
      <x:c r="AG94" s="32" t="str">
        <x:v>LIB-010</x:v>
      </x:c>
      <x:c r="AH94" s="32" t="str">
        <x:v>TH</x:v>
      </x:c>
      <x:c r="AI94" s="32" t="str">
        <x:v>Main</x:v>
      </x:c>
      <x:c r="AJ94" s="32" t="str">
        <x:v>None</x:v>
      </x:c>
      <x:c r="AK94" s="32" t="str">
        <x:v>inputs/product_images/IMG002.png</x:v>
      </x:c>
      <x:c r="AL94" s="32" t="str"/>
      <x:c r="AM94" s="32" t="str">
        <x:v>N/A</x:v>
      </x:c>
      <x:c r="AN94" s="32" t="str">
        <x:v>N/A</x:v>
      </x:c>
      <x:c r="AO94" s="32" t="str"/>
      <x:c r="AP94" s="32" t="str">
        <x:v>No</x:v>
      </x:c>
      <x:c r="AQ94" s="32" t="str">
        <x:v>Not Started</x:v>
      </x:c>
      <x:c r="AR94" s="32" t="str">
        <x:v>N/A</x:v>
      </x:c>
      <x:c r="AS94" s="32" t="str">
        <x:f>IFERROR(VLOOKUP(B94&amp;"|24h",'COMMENT_RECHECK'!$V$5:$Y$204,3,FALSE),"")</x:f>
        <x:v>None</x:v>
      </x:c>
      <x:c r="AT94" s="32" t="str">
        <x:v>[SANITIZED]</x:v>
      </x:c>
      <x:c r="AU94" s="32" t="str">
        <x:v>case_account_10</x:v>
      </x:c>
      <x:c r="AV94" s="32" t="str">
        <x:v>[SANITIZED]</x:v>
      </x:c>
      <x:c r="AW94" s="32" t="str">
        <x:v>[SANITIZED]</x:v>
      </x:c>
      <x:c r="AX94" s="32" t="str">
        <x:v>[SANITIZED]</x:v>
      </x:c>
      <x:c r="AY94" s="32" t="str">
        <x:v>Manual Simulation</x:v>
      </x:c>
      <x:c r="AZ94" s="32" t="str">
        <x:v>2026-07-23 18:23</x:v>
      </x:c>
      <x:c r="BA94" s="32" t="str">
        <x:v>2026-07-23 18:23</x:v>
      </x:c>
      <x:c r="BB94" s="32" t="str">
        <x:v>Yes</x:v>
      </x:c>
      <x:c r="BC94" s="32" t="str">
        <x:v>Yes</x:v>
      </x:c>
      <x:c r="BD94" s="32" t="str"/>
      <x:c r="BE94" s="32" t="str"/>
      <x:c r="BF94" s="32" t="str">
        <x:v>No</x:v>
      </x:c>
      <x:c r="BG94" s="32" t="str">
        <x:v>No</x:v>
      </x:c>
      <x:c r="BH94" s="32" t="n">
        <x:v>0</x:v>
      </x:c>
      <x:c r="BI94" s="32" t="str">
        <x:v>24h</x:v>
      </x:c>
      <x:c r="BJ94" s="32" t="str">
        <x:f>IFERROR(VLOOKUP(B94&amp;"|24h",'COMMENT_RECHECK'!$V$5:$Y$204,4,FALSE),"Pending")</x:f>
        <x:v>No Verified User Reply</x:v>
      </x:c>
      <x:c r="BK94" s="33" t="str">
        <x:f>IF(OR(COUNTIF($B$5:$B$104,B94)&gt;1,AND(T94="Posted",BC94&lt;&gt;"Yes"),AND(OR(BJ94="Verified User Reply",BJ94="Mixed Reply"),Y94="")),"Review","OK")</x:f>
        <x:v>OK</x:v>
      </x:c>
    </x:row>
    <x:row r="95">
      <x:c r="A95" s="49" t="n">
        <x:v>46227</x:v>
      </x:c>
      <x:c r="B95" s="32" t="str">
        <x:v>IC-0091</x:v>
      </x:c>
      <x:c r="C95" s="32" t="str">
        <x:v>Account Slot 1</x:v>
      </x:c>
      <x:c r="D95" s="32" t="str">
        <x:v>Synthetic Display 1</x:v>
      </x:c>
      <x:c r="E95" s="32" t="str">
        <x:v>09:30</x:v>
      </x:c>
      <x:c r="F95" s="32" t="str">
        <x:v>creator_case_091</x:v>
      </x:c>
      <x:c r="G95" s="32" t="str">
        <x:v>Lifestyle</x:v>
      </x:c>
      <x:c r="H95" s="32" t="str">
        <x:v>https://video.invalid/case/V0091</x:v>
      </x:c>
      <x:c r="I95" s="32" t="str">
        <x:v>เสื้อเชิ้ตทำงาน</x:v>
      </x:c>
      <x:c r="J95" s="32" t="str">
        <x:v>2026-07-20 18:00</x:v>
      </x:c>
      <x:c r="K95" s="32" t="n">
        <x:v>4330</x:v>
      </x:c>
      <x:c r="L95" s="32" t="n">
        <x:v>360</x:v>
      </x:c>
      <x:c r="M95" s="32" t="str">
        <x:v>Main comment</x:v>
      </x:c>
      <x:c r="N95" s="32" t="str">
        <x:v>Main comment</x:v>
      </x:c>
      <x:c r="O95" s="32" t="str">
        <x:v>ชอบความ soft ของเสื้อคลุมลุคนี้ ดูไม่เยอะแต่มีอะไรค่ะ ความวิบวับแบบเบา ๆ ในรูปทำให้เสื้อพื้นฐานดูมีคาแรกเตอร์โดยไม่ต้องใส่สร้อยเพิ่ม</x:v>
      </x:c>
      <x:c r="P95" s="32" t="str">
        <x:v>IMG002</x:v>
      </x:c>
      <x:c r="Q95" s="32" t="str">
        <x:v>White shirt with floral fashion-button details at the collar and cuff</x:v>
      </x:c>
      <x:c r="R95" s="32" t="str">
        <x:v>Synthetic context before</x:v>
      </x:c>
      <x:c r="S95" s="32" t="str">
        <x:v>Synthetic context after</x:v>
      </x:c>
      <x:c r="T95" s="32" t="str">
        <x:v>Posted</x:v>
      </x:c>
      <x:c r="U95" s="32" t="str">
        <x:f>IFERROR(VLOOKUP(B95&amp;"|24h",'COMMENT_RECHECK'!$V$5:$Y$204,2,FALSE),"Pending")</x:f>
        <x:v>Missing</x:v>
      </x:c>
      <x:c r="V95" s="32" t="n">
        <x:v>0</x:v>
      </x:c>
      <x:c r="W95" s="32" t="str"/>
      <x:c r="X95" s="32" t="n">
        <x:v>0</x:v>
      </x:c>
      <x:c r="Y95" s="32" t="str">
        <x:v>EVD-SYN-0091-POST</x:v>
      </x:c>
      <x:c r="Z95" s="32" t="str"/>
      <x:c r="AA95" s="32" t="str">
        <x:v>Advanced</x:v>
      </x:c>
      <x:c r="AB95" s="32" t="str">
        <x:v>N/A</x:v>
      </x:c>
      <x:c r="AC95" s="32" t="str">
        <x:v>Styled</x:v>
      </x:c>
      <x:c r="AD95" s="32" t="str">
        <x:v>TH</x:v>
      </x:c>
      <x:c r="AE95" s="32" t="str">
        <x:v>Yes</x:v>
      </x:c>
      <x:c r="AF95" s="32" t="str">
        <x:v>Standard</x:v>
      </x:c>
      <x:c r="AG95" s="32" t="str">
        <x:v>LIB-011</x:v>
      </x:c>
      <x:c r="AH95" s="32" t="str">
        <x:v>TH</x:v>
      </x:c>
      <x:c r="AI95" s="32" t="str">
        <x:v>Main</x:v>
      </x:c>
      <x:c r="AJ95" s="32" t="str">
        <x:v>Reference</x:v>
      </x:c>
      <x:c r="AK95" s="32" t="str">
        <x:v>inputs/product_images/IMG002.png</x:v>
      </x:c>
      <x:c r="AL95" s="32" t="str"/>
      <x:c r="AM95" s="32" t="str">
        <x:v>Yes</x:v>
      </x:c>
      <x:c r="AN95" s="32" t="str">
        <x:v>Complete</x:v>
      </x:c>
      <x:c r="AO95" s="32" t="str"/>
      <x:c r="AP95" s="32" t="str">
        <x:v>No</x:v>
      </x:c>
      <x:c r="AQ95" s="32" t="str">
        <x:v>Not Started</x:v>
      </x:c>
      <x:c r="AR95" s="32" t="str">
        <x:v>Fit</x:v>
      </x:c>
      <x:c r="AS95" s="32" t="str">
        <x:f>IFERROR(VLOOKUP(B95&amp;"|24h",'COMMENT_RECHECK'!$V$5:$Y$204,3,FALSE),"")</x:f>
        <x:v>None</x:v>
      </x:c>
      <x:c r="AT95" s="32" t="str">
        <x:v>[SANITIZED]</x:v>
      </x:c>
      <x:c r="AU95" s="32" t="str">
        <x:v>case_account_01</x:v>
      </x:c>
      <x:c r="AV95" s="32" t="str">
        <x:v>[SANITIZED]</x:v>
      </x:c>
      <x:c r="AW95" s="32" t="str">
        <x:v>[SANITIZED]</x:v>
      </x:c>
      <x:c r="AX95" s="32" t="str">
        <x:v>[SANITIZED]</x:v>
      </x:c>
      <x:c r="AY95" s="32" t="str">
        <x:v>Manual Simulation</x:v>
      </x:c>
      <x:c r="AZ95" s="32" t="str">
        <x:v>2026-07-23 09:30</x:v>
      </x:c>
      <x:c r="BA95" s="32" t="str">
        <x:v>2026-07-23 09:30</x:v>
      </x:c>
      <x:c r="BB95" s="32" t="str">
        <x:v>Yes</x:v>
      </x:c>
      <x:c r="BC95" s="32" t="str">
        <x:v>Yes</x:v>
      </x:c>
      <x:c r="BD95" s="32" t="str"/>
      <x:c r="BE95" s="32" t="str"/>
      <x:c r="BF95" s="32" t="str">
        <x:v>No</x:v>
      </x:c>
      <x:c r="BG95" s="32" t="str">
        <x:v>No</x:v>
      </x:c>
      <x:c r="BH95" s="32" t="n">
        <x:v>0</x:v>
      </x:c>
      <x:c r="BI95" s="32" t="str">
        <x:v>24h</x:v>
      </x:c>
      <x:c r="BJ95" s="32" t="str">
        <x:f>IFERROR(VLOOKUP(B95&amp;"|24h",'COMMENT_RECHECK'!$V$5:$Y$204,4,FALSE),"Pending")</x:f>
        <x:v>No Verified User Reply</x:v>
      </x:c>
      <x:c r="BK95" s="33" t="str">
        <x:f>IF(OR(COUNTIF($B$5:$B$104,B95)&gt;1,AND(T95="Posted",BC95&lt;&gt;"Yes"),AND(OR(BJ95="Verified User Reply",BJ95="Mixed Reply"),Y95="")),"Review","OK")</x:f>
        <x:v>OK</x:v>
      </x:c>
    </x:row>
    <x:row r="96">
      <x:c r="A96" s="49" t="n">
        <x:v>46227</x:v>
      </x:c>
      <x:c r="B96" s="32" t="str">
        <x:v>IC-0092</x:v>
      </x:c>
      <x:c r="C96" s="32" t="str">
        <x:v>Account Slot 2</x:v>
      </x:c>
      <x:c r="D96" s="32" t="str">
        <x:v>Synthetic Display 2</x:v>
      </x:c>
      <x:c r="E96" s="32" t="str">
        <x:v>10:37</x:v>
      </x:c>
      <x:c r="F96" s="32" t="str">
        <x:v>creator_case_092</x:v>
      </x:c>
      <x:c r="G96" s="32" t="str">
        <x:v>Tailoring</x:v>
      </x:c>
      <x:c r="H96" s="32" t="str">
        <x:v>https://video.invalid/case/V0092</x:v>
      </x:c>
      <x:c r="I96" s="32" t="str">
        <x:v>แจ็กเก็ตเดนิม</x:v>
      </x:c>
      <x:c r="J96" s="32" t="str">
        <x:v>2026-07-20 18:00</x:v>
      </x:c>
      <x:c r="K96" s="32" t="n">
        <x:v>4367</x:v>
      </x:c>
      <x:c r="L96" s="32" t="n">
        <x:v>363</x:v>
      </x:c>
      <x:c r="M96" s="32" t="str">
        <x:v>Main comment</x:v>
      </x:c>
      <x:c r="N96" s="32" t="str">
        <x:v>Main comment</x:v>
      </x:c>
      <x:c r="O96" s="32" t="str">
        <x:v>เป็นไอเดียแต่งตัวประจำวันที่ดูดีแบบไม่ต้องคิดเยอะค่ะ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96" s="32" t="str">
        <x:v>IMG002</x:v>
      </x:c>
      <x:c r="Q96" s="32" t="str">
        <x:v>White shirt with floral fashion-button details at the collar and cuff</x:v>
      </x:c>
      <x:c r="R96" s="32" t="str">
        <x:v>Synthetic context before</x:v>
      </x:c>
      <x:c r="S96" s="32" t="str">
        <x:v>Synthetic context after</x:v>
      </x:c>
      <x:c r="T96" s="32" t="str">
        <x:v>Posted</x:v>
      </x:c>
      <x:c r="U96" s="32" t="str">
        <x:f>IFERROR(VLOOKUP(B96&amp;"|24h",'COMMENT_RECHECK'!$V$5:$Y$204,2,FALSE),"Pending")</x:f>
        <x:v>Visible</x:v>
      </x:c>
      <x:c r="V96" s="32" t="n">
        <x:v>2</x:v>
      </x:c>
      <x:c r="W96" s="32" t="str">
        <x:v>Synthetic reply preview</x:v>
      </x:c>
      <x:c r="X96" s="32" t="n">
        <x:v>0</x:v>
      </x:c>
      <x:c r="Y96" s="32" t="str">
        <x:v>EVD-SYN-0092-POST</x:v>
      </x:c>
      <x:c r="Z96" s="32" t="str"/>
      <x:c r="AA96" s="32" t="str">
        <x:v>Advanced</x:v>
      </x:c>
      <x:c r="AB96" s="32" t="str">
        <x:v>N/A</x:v>
      </x:c>
      <x:c r="AC96" s="32" t="str">
        <x:v>Neutral</x:v>
      </x:c>
      <x:c r="AD96" s="32" t="str">
        <x:v>TH</x:v>
      </x:c>
      <x:c r="AE96" s="32" t="str">
        <x:v>Yes</x:v>
      </x:c>
      <x:c r="AF96" s="32" t="str">
        <x:v>Standard</x:v>
      </x:c>
      <x:c r="AG96" s="32" t="str">
        <x:v>LIB-012</x:v>
      </x:c>
      <x:c r="AH96" s="32" t="str">
        <x:v>TH</x:v>
      </x:c>
      <x:c r="AI96" s="32" t="str">
        <x:v>Main</x:v>
      </x:c>
      <x:c r="AJ96" s="32" t="str">
        <x:v>None</x:v>
      </x:c>
      <x:c r="AK96" s="32" t="str">
        <x:v>inputs/product_images/IMG002.png</x:v>
      </x:c>
      <x:c r="AL96" s="32" t="str"/>
      <x:c r="AM96" s="32" t="str">
        <x:v>N/A</x:v>
      </x:c>
      <x:c r="AN96" s="32" t="str">
        <x:v>N/A</x:v>
      </x:c>
      <x:c r="AO96" s="32" t="str"/>
      <x:c r="AP96" s="32" t="str">
        <x:v>Potential</x:v>
      </x:c>
      <x:c r="AQ96" s="32" t="str">
        <x:v>Not Started</x:v>
      </x:c>
      <x:c r="AR96" s="32" t="str">
        <x:v>N/A</x:v>
      </x:c>
      <x:c r="AS96" s="32" t="str">
        <x:f>IFERROR(VLOOKUP(B96&amp;"|24h",'COMMENT_RECHECK'!$V$5:$Y$204,3,FALSE),"")</x:f>
        <x:v>Mixed</x:v>
      </x:c>
      <x:c r="AT96" s="32" t="str">
        <x:v>[SANITIZED]</x:v>
      </x:c>
      <x:c r="AU96" s="32" t="str">
        <x:v>case_account_02</x:v>
      </x:c>
      <x:c r="AV96" s="32" t="str">
        <x:v>[SANITIZED]</x:v>
      </x:c>
      <x:c r="AW96" s="32" t="str">
        <x:v>[SANITIZED]</x:v>
      </x:c>
      <x:c r="AX96" s="32" t="str">
        <x:v>[SANITIZED]</x:v>
      </x:c>
      <x:c r="AY96" s="32" t="str">
        <x:v>Manual Simulation</x:v>
      </x:c>
      <x:c r="AZ96" s="32" t="str">
        <x:v>2026-07-23 10:37</x:v>
      </x:c>
      <x:c r="BA96" s="32" t="str">
        <x:v>2026-07-23 10:37</x:v>
      </x:c>
      <x:c r="BB96" s="32" t="str">
        <x:v>Yes</x:v>
      </x:c>
      <x:c r="BC96" s="32" t="str">
        <x:v>Yes</x:v>
      </x:c>
      <x:c r="BD96" s="32" t="str"/>
      <x:c r="BE96" s="32" t="str"/>
      <x:c r="BF96" s="32" t="str">
        <x:v>No</x:v>
      </x:c>
      <x:c r="BG96" s="32" t="str">
        <x:v>No</x:v>
      </x:c>
      <x:c r="BH96" s="32" t="n">
        <x:v>0</x:v>
      </x:c>
      <x:c r="BI96" s="32" t="str">
        <x:v>24h</x:v>
      </x:c>
      <x:c r="BJ96" s="32" t="str">
        <x:f>IFERROR(VLOOKUP(B96&amp;"|24h",'COMMENT_RECHECK'!$V$5:$Y$204,4,FALSE),"Pending")</x:f>
        <x:v>Mixed Reply</x:v>
      </x:c>
      <x:c r="BK96" s="33" t="str">
        <x:f>IF(OR(COUNTIF($B$5:$B$104,B96)&gt;1,AND(T96="Posted",BC96&lt;&gt;"Yes"),AND(OR(BJ96="Verified User Reply",BJ96="Mixed Reply"),Y96="")),"Review","OK")</x:f>
        <x:v>OK</x:v>
      </x:c>
    </x:row>
    <x:row r="97">
      <x:c r="A97" s="49" t="n">
        <x:v>46227</x:v>
      </x:c>
      <x:c r="B97" s="32" t="str">
        <x:v>IC-0093</x:v>
      </x:c>
      <x:c r="C97" s="32" t="str">
        <x:v>Account Slot 3</x:v>
      </x:c>
      <x:c r="D97" s="32" t="str">
        <x:v>Synthetic Display 3</x:v>
      </x:c>
      <x:c r="E97" s="32" t="str">
        <x:v>11:44</x:v>
      </x:c>
      <x:c r="F97" s="32" t="str">
        <x:v>creator_case_093</x:v>
      </x:c>
      <x:c r="G97" s="32" t="str">
        <x:v>Fashion</x:v>
      </x:c>
      <x:c r="H97" s="32" t="str">
        <x:v>https://video.invalid/case/V0093</x:v>
      </x:c>
      <x:c r="I97" s="32" t="str">
        <x:v>เดรสออกงาน</x:v>
      </x:c>
      <x:c r="J97" s="32" t="str">
        <x:v>2026-07-20 18:00</x:v>
      </x:c>
      <x:c r="K97" s="32" t="n">
        <x:v>4404</x:v>
      </x:c>
      <x:c r="L97" s="32" t="n">
        <x:v>366</x:v>
      </x:c>
      <x:c r="M97" s="32" t="str">
        <x:v>Reply</x:v>
      </x:c>
      <x:c r="N97" s="32" t="str">
        <x:v>Synthetic parent</x:v>
      </x:c>
      <x:c r="O97" s="32" t="str">
        <x:v>โปโลลุคนี้ดูทะมัดทะแมงแต่ยังมีความละมุนอยู่ จุดเล็ก ๆ โทนชมพูแบบในรูปทำให้เสื้อขาวดูละมุนและแต่งสนุกขึ้นมาก</x:v>
      </x:c>
      <x:c r="P97" s="32" t="str">
        <x:v>IMG002</x:v>
      </x:c>
      <x:c r="Q97" s="32" t="str">
        <x:v>White shirt with floral fashion-button details at the collar and cuff</x:v>
      </x:c>
      <x:c r="R97" s="32" t="str">
        <x:v>Synthetic context before</x:v>
      </x:c>
      <x:c r="S97" s="32" t="str">
        <x:v>Synthetic context after</x:v>
      </x:c>
      <x:c r="T97" s="32" t="str">
        <x:v>Posted</x:v>
      </x:c>
      <x:c r="U97" s="32" t="str">
        <x:f>IFERROR(VLOOKUP(B97&amp;"|24h",'COMMENT_RECHECK'!$V$5:$Y$204,2,FALSE),"Pending")</x:f>
        <x:v>Visible</x:v>
      </x:c>
      <x:c r="V97" s="32" t="n">
        <x:v>0</x:v>
      </x:c>
      <x:c r="W97" s="32" t="str"/>
      <x:c r="X97" s="32" t="n">
        <x:v>0</x:v>
      </x:c>
      <x:c r="Y97" s="32" t="str">
        <x:v>EVD-SYN-0093-POST</x:v>
      </x:c>
      <x:c r="Z97" s="32" t="str"/>
      <x:c r="AA97" s="32" t="str">
        <x:v>Advanced</x:v>
      </x:c>
      <x:c r="AB97" s="32" t="str">
        <x:v>N/A</x:v>
      </x:c>
      <x:c r="AC97" s="32" t="str">
        <x:v>Styled</x:v>
      </x:c>
      <x:c r="AD97" s="32" t="str">
        <x:v>TH</x:v>
      </x:c>
      <x:c r="AE97" s="32" t="str">
        <x:v>Yes</x:v>
      </x:c>
      <x:c r="AF97" s="32" t="str">
        <x:v>Standard</x:v>
      </x:c>
      <x:c r="AG97" s="32" t="str">
        <x:v>LIB-013</x:v>
      </x:c>
      <x:c r="AH97" s="32" t="str">
        <x:v>TH</x:v>
      </x:c>
      <x:c r="AI97" s="32" t="str">
        <x:v>Reply</x:v>
      </x:c>
      <x:c r="AJ97" s="32" t="str">
        <x:v>None</x:v>
      </x:c>
      <x:c r="AK97" s="32" t="str">
        <x:v>inputs/product_images/IMG002.png</x:v>
      </x:c>
      <x:c r="AL97" s="32" t="str"/>
      <x:c r="AM97" s="32" t="str">
        <x:v>N/A</x:v>
      </x:c>
      <x:c r="AN97" s="32" t="str">
        <x:v>N/A</x:v>
      </x:c>
      <x:c r="AO97" s="32" t="str"/>
      <x:c r="AP97" s="32" t="str">
        <x:v>No</x:v>
      </x:c>
      <x:c r="AQ97" s="32" t="str">
        <x:v>Not Started</x:v>
      </x:c>
      <x:c r="AR97" s="32" t="str">
        <x:v>N/A</x:v>
      </x:c>
      <x:c r="AS97" s="32" t="str">
        <x:f>IFERROR(VLOOKUP(B97&amp;"|24h",'COMMENT_RECHECK'!$V$5:$Y$204,3,FALSE),"")</x:f>
        <x:v>None</x:v>
      </x:c>
      <x:c r="AT97" s="32" t="str">
        <x:v>[SANITIZED]</x:v>
      </x:c>
      <x:c r="AU97" s="32" t="str">
        <x:v>case_account_03</x:v>
      </x:c>
      <x:c r="AV97" s="32" t="str">
        <x:v>[SANITIZED]</x:v>
      </x:c>
      <x:c r="AW97" s="32" t="str">
        <x:v>[SANITIZED]</x:v>
      </x:c>
      <x:c r="AX97" s="32" t="str">
        <x:v>[SANITIZED]</x:v>
      </x:c>
      <x:c r="AY97" s="32" t="str">
        <x:v>Manual Simulation</x:v>
      </x:c>
      <x:c r="AZ97" s="32" t="str">
        <x:v>2026-07-23 11:44</x:v>
      </x:c>
      <x:c r="BA97" s="32" t="str">
        <x:v>2026-07-23 11:44</x:v>
      </x:c>
      <x:c r="BB97" s="32" t="str">
        <x:v>Yes</x:v>
      </x:c>
      <x:c r="BC97" s="32" t="str">
        <x:v>Yes</x:v>
      </x:c>
      <x:c r="BD97" s="32" t="str"/>
      <x:c r="BE97" s="32" t="str"/>
      <x:c r="BF97" s="32" t="str">
        <x:v>No</x:v>
      </x:c>
      <x:c r="BG97" s="32" t="str">
        <x:v>No</x:v>
      </x:c>
      <x:c r="BH97" s="32" t="n">
        <x:v>0</x:v>
      </x:c>
      <x:c r="BI97" s="32" t="str">
        <x:v>24h</x:v>
      </x:c>
      <x:c r="BJ97" s="32" t="str">
        <x:f>IFERROR(VLOOKUP(B97&amp;"|24h",'COMMENT_RECHECK'!$V$5:$Y$204,4,FALSE),"Pending")</x:f>
        <x:v>No Verified User Reply</x:v>
      </x:c>
      <x:c r="BK97" s="33" t="str">
        <x:f>IF(OR(COUNTIF($B$5:$B$104,B97)&gt;1,AND(T97="Posted",BC97&lt;&gt;"Yes"),AND(OR(BJ97="Verified User Reply",BJ97="Mixed Reply"),Y97="")),"Review","OK")</x:f>
        <x:v>OK</x:v>
      </x:c>
    </x:row>
    <x:row r="98">
      <x:c r="A98" s="49" t="n">
        <x:v>46227</x:v>
      </x:c>
      <x:c r="B98" s="32" t="str">
        <x:v>IC-0094</x:v>
      </x:c>
      <x:c r="C98" s="32" t="str">
        <x:v>Account Slot 4</x:v>
      </x:c>
      <x:c r="D98" s="32" t="str">
        <x:v>Synthetic Display 4</x:v>
      </x:c>
      <x:c r="E98" s="32" t="str">
        <x:v>12:51</x:v>
      </x:c>
      <x:c r="F98" s="32" t="str">
        <x:v>creator_case_094</x:v>
      </x:c>
      <x:c r="G98" s="32" t="str">
        <x:v>DIY</x:v>
      </x:c>
      <x:c r="H98" s="32" t="str">
        <x:v>https://video.invalid/case/V0094</x:v>
      </x:c>
      <x:c r="I98" s="32" t="str">
        <x:v>งานเย็บ DIY</x:v>
      </x:c>
      <x:c r="J98" s="32" t="str">
        <x:v>2026-07-20 18:00</x:v>
      </x:c>
      <x:c r="K98" s="32" t="n">
        <x:v>4441</x:v>
      </x:c>
      <x:c r="L98" s="32" t="n">
        <x:v>369</x:v>
      </x:c>
      <x:c r="M98" s="32" t="str">
        <x:v>Main comment</x:v>
      </x:c>
      <x:c r="N98" s="32" t="str">
        <x:v>Main comment</x:v>
      </x:c>
      <x:c r="O98" s="32" t="str">
        <x:v>ลุคคาร์ดิแกนนี้น่ารักและดูแต่งตามได้จริงมากค่ะ ลองใช้ดีเทลตรงคอกับข้อมือแบบในรูปดูค่ะ น่าจะช่วยให้ทั้งลุคคอมพลีตขึ้นมาก</x:v>
      </x:c>
      <x:c r="P98" s="32" t="str">
        <x:v>IMG002</x:v>
      </x:c>
      <x:c r="Q98" s="32" t="str">
        <x:v>White shirt with floral fashion-button details at the collar and cuff</x:v>
      </x:c>
      <x:c r="R98" s="32" t="str">
        <x:v>Synthetic context before</x:v>
      </x:c>
      <x:c r="S98" s="32" t="str">
        <x:v>Synthetic context after</x:v>
      </x:c>
      <x:c r="T98" s="32" t="str">
        <x:v>Posted</x:v>
      </x:c>
      <x:c r="U98" s="32" t="str">
        <x:f>IFERROR(VLOOKUP(B98&amp;"|24h",'COMMENT_RECHECK'!$V$5:$Y$204,2,FALSE),"Pending")</x:f>
        <x:v>Visible</x:v>
      </x:c>
      <x:c r="V98" s="32" t="n">
        <x:v>0</x:v>
      </x:c>
      <x:c r="W98" s="32" t="str"/>
      <x:c r="X98" s="32" t="n">
        <x:v>0</x:v>
      </x:c>
      <x:c r="Y98" s="32" t="str">
        <x:v>EVD-SYN-0094-POST</x:v>
      </x:c>
      <x:c r="Z98" s="32" t="str"/>
      <x:c r="AA98" s="32" t="str">
        <x:v>Advanced</x:v>
      </x:c>
      <x:c r="AB98" s="32" t="str">
        <x:v>N/A</x:v>
      </x:c>
      <x:c r="AC98" s="32" t="str">
        <x:v>Neutral</x:v>
      </x:c>
      <x:c r="AD98" s="32" t="str">
        <x:v>TH</x:v>
      </x:c>
      <x:c r="AE98" s="32" t="str">
        <x:v>Yes</x:v>
      </x:c>
      <x:c r="AF98" s="32" t="str">
        <x:v>Standard</x:v>
      </x:c>
      <x:c r="AG98" s="32" t="str">
        <x:v>LIB-014</x:v>
      </x:c>
      <x:c r="AH98" s="32" t="str">
        <x:v>TH</x:v>
      </x:c>
      <x:c r="AI98" s="32" t="str">
        <x:v>Main</x:v>
      </x:c>
      <x:c r="AJ98" s="32" t="str">
        <x:v>None</x:v>
      </x:c>
      <x:c r="AK98" s="32" t="str">
        <x:v>inputs/product_images/IMG002.png</x:v>
      </x:c>
      <x:c r="AL98" s="32" t="str"/>
      <x:c r="AM98" s="32" t="str">
        <x:v>N/A</x:v>
      </x:c>
      <x:c r="AN98" s="32" t="str">
        <x:v>N/A</x:v>
      </x:c>
      <x:c r="AO98" s="32" t="str"/>
      <x:c r="AP98" s="32" t="str">
        <x:v>No</x:v>
      </x:c>
      <x:c r="AQ98" s="32" t="str">
        <x:v>Not Started</x:v>
      </x:c>
      <x:c r="AR98" s="32" t="str">
        <x:v>N/A</x:v>
      </x:c>
      <x:c r="AS98" s="32" t="str">
        <x:f>IFERROR(VLOOKUP(B98&amp;"|24h",'COMMENT_RECHECK'!$V$5:$Y$204,3,FALSE),"")</x:f>
        <x:v>None</x:v>
      </x:c>
      <x:c r="AT98" s="32" t="str">
        <x:v>[SANITIZED]</x:v>
      </x:c>
      <x:c r="AU98" s="32" t="str">
        <x:v>case_account_04</x:v>
      </x:c>
      <x:c r="AV98" s="32" t="str">
        <x:v>[SANITIZED]</x:v>
      </x:c>
      <x:c r="AW98" s="32" t="str">
        <x:v>[SANITIZED]</x:v>
      </x:c>
      <x:c r="AX98" s="32" t="str">
        <x:v>[SANITIZED]</x:v>
      </x:c>
      <x:c r="AY98" s="32" t="str">
        <x:v>Manual Simulation</x:v>
      </x:c>
      <x:c r="AZ98" s="32" t="str">
        <x:v>2026-07-23 12:51</x:v>
      </x:c>
      <x:c r="BA98" s="32" t="str">
        <x:v>2026-07-23 12:51</x:v>
      </x:c>
      <x:c r="BB98" s="32" t="str">
        <x:v>Yes</x:v>
      </x:c>
      <x:c r="BC98" s="32" t="str">
        <x:v>Yes</x:v>
      </x:c>
      <x:c r="BD98" s="32" t="str"/>
      <x:c r="BE98" s="32" t="str"/>
      <x:c r="BF98" s="32" t="str">
        <x:v>No</x:v>
      </x:c>
      <x:c r="BG98" s="32" t="str">
        <x:v>No</x:v>
      </x:c>
      <x:c r="BH98" s="32" t="n">
        <x:v>0</x:v>
      </x:c>
      <x:c r="BI98" s="32" t="str">
        <x:v>24h</x:v>
      </x:c>
      <x:c r="BJ98" s="32" t="str">
        <x:f>IFERROR(VLOOKUP(B98&amp;"|24h",'COMMENT_RECHECK'!$V$5:$Y$204,4,FALSE),"Pending")</x:f>
        <x:v>No Verified User Reply</x:v>
      </x:c>
      <x:c r="BK98" s="33" t="str">
        <x:f>IF(OR(COUNTIF($B$5:$B$104,B98)&gt;1,AND(T98="Posted",BC98&lt;&gt;"Yes"),AND(OR(BJ98="Verified User Reply",BJ98="Mixed Reply"),Y98="")),"Review","OK")</x:f>
        <x:v>OK</x:v>
      </x:c>
    </x:row>
    <x:row r="99">
      <x:c r="A99" s="49" t="n">
        <x:v>46227</x:v>
      </x:c>
      <x:c r="B99" s="32" t="str">
        <x:v>IC-0095</x:v>
      </x:c>
      <x:c r="C99" s="32" t="str">
        <x:v>Account Slot 5</x:v>
      </x:c>
      <x:c r="D99" s="32" t="str">
        <x:v>Synthetic Display 5</x:v>
      </x:c>
      <x:c r="E99" s="32" t="str">
        <x:v>13:58</x:v>
      </x:c>
      <x:c r="F99" s="32" t="str">
        <x:v>creator_case_095</x:v>
      </x:c>
      <x:c r="G99" s="32" t="str">
        <x:v>Lifestyle</x:v>
      </x:c>
      <x:c r="H99" s="32" t="str">
        <x:v>https://video.invalid/case/V0095</x:v>
      </x:c>
      <x:c r="I99" s="32" t="str">
        <x:v>การซ่อมเสื้อ</x:v>
      </x:c>
      <x:c r="J99" s="32" t="str">
        <x:v>2026-07-20 18:00</x:v>
      </x:c>
      <x:c r="K99" s="32" t="n">
        <x:v>4478</x:v>
      </x:c>
      <x:c r="L99" s="32" t="n">
        <x:v>372</x:v>
      </x:c>
      <x:c r="M99" s="32" t="str">
        <x:v>Main comment</x:v>
      </x:c>
      <x:c r="N99" s="32" t="str">
        <x:v>Main comment</x:v>
      </x:c>
      <x:c r="O99" s="32" t="str">
        <x:v>OOTD นี้คุมความเรียบกับความเก๋ได้พอดีเลย ตัวครอบกระดุมโทนมุกแบบในรูปทำให้เสื้อกับเบลเซอร์ดูเชื่อมกันอย่างลงตัว</x:v>
      </x:c>
      <x:c r="P99" s="32" t="str">
        <x:v>IMG004</x:v>
      </x:c>
      <x:c r="Q99" s="32" t="str">
        <x:v>Polished black blazer look with pearl and monochrome fashion-button details</x:v>
      </x:c>
      <x:c r="R99" s="32" t="str">
        <x:v>Synthetic context before</x:v>
      </x:c>
      <x:c r="S99" s="32" t="str">
        <x:v>Synthetic context after</x:v>
      </x:c>
      <x:c r="T99" s="32" t="str">
        <x:v>Posted</x:v>
      </x:c>
      <x:c r="U99" s="32" t="str">
        <x:v>Visible</x:v>
      </x:c>
      <x:c r="V99" s="32" t="n">
        <x:v>0</x:v>
      </x:c>
      <x:c r="W99" s="32" t="str"/>
      <x:c r="X99" s="32" t="n">
        <x:v>0</x:v>
      </x:c>
      <x:c r="Y99" s="32" t="str">
        <x:v>EVD-SYN-0095-POST</x:v>
      </x:c>
      <x:c r="Z99" s="32" t="str"/>
      <x:c r="AA99" s="32" t="str">
        <x:v>Advanced</x:v>
      </x:c>
      <x:c r="AB99" s="32" t="str">
        <x:v>N/A</x:v>
      </x:c>
      <x:c r="AC99" s="32" t="str">
        <x:v>Styled</x:v>
      </x:c>
      <x:c r="AD99" s="32" t="str">
        <x:v>TH</x:v>
      </x:c>
      <x:c r="AE99" s="32" t="str">
        <x:v>Yes</x:v>
      </x:c>
      <x:c r="AF99" s="32" t="str">
        <x:v>Standard</x:v>
      </x:c>
      <x:c r="AG99" s="32" t="str">
        <x:v>LIB-015</x:v>
      </x:c>
      <x:c r="AH99" s="32" t="str">
        <x:v>TH</x:v>
      </x:c>
      <x:c r="AI99" s="32" t="str">
        <x:v>Main</x:v>
      </x:c>
      <x:c r="AJ99" s="32" t="str">
        <x:v>None</x:v>
      </x:c>
      <x:c r="AK99" s="32" t="str">
        <x:v>inputs/product_images/IMG004.png</x:v>
      </x:c>
      <x:c r="AL99" s="32" t="str"/>
      <x:c r="AM99" s="32" t="str">
        <x:v>N/A</x:v>
      </x:c>
      <x:c r="AN99" s="32" t="str">
        <x:v>N/A</x:v>
      </x:c>
      <x:c r="AO99" s="32" t="str"/>
      <x:c r="AP99" s="32" t="str">
        <x:v>No</x:v>
      </x:c>
      <x:c r="AQ99" s="32" t="str">
        <x:v>Not Started</x:v>
      </x:c>
      <x:c r="AR99" s="32" t="str">
        <x:v>N/A</x:v>
      </x:c>
      <x:c r="AS99" s="32" t="str">
        <x:f>IFERROR(VLOOKUP(B99&amp;"|24h",'COMMENT_RECHECK'!$V$5:$Y$204,3,FALSE),"")</x:f>
        <x:v>None</x:v>
      </x:c>
      <x:c r="AT99" s="32" t="str">
        <x:v>[SANITIZED]</x:v>
      </x:c>
      <x:c r="AU99" s="32" t="str">
        <x:v>case_account_05</x:v>
      </x:c>
      <x:c r="AV99" s="32" t="str">
        <x:v>[SANITIZED]</x:v>
      </x:c>
      <x:c r="AW99" s="32" t="str">
        <x:v>[SANITIZED]</x:v>
      </x:c>
      <x:c r="AX99" s="32" t="str">
        <x:v>[SANITIZED]</x:v>
      </x:c>
      <x:c r="AY99" s="32" t="str">
        <x:v>Manual Simulation</x:v>
      </x:c>
      <x:c r="AZ99" s="32" t="str">
        <x:v>2026-07-23 13:58</x:v>
      </x:c>
      <x:c r="BA99" s="32" t="str">
        <x:v>2026-07-23 13:58</x:v>
      </x:c>
      <x:c r="BB99" s="32" t="str">
        <x:v>Yes</x:v>
      </x:c>
      <x:c r="BC99" s="32" t="str">
        <x:v>Yes</x:v>
      </x:c>
      <x:c r="BD99" s="32" t="str"/>
      <x:c r="BE99" s="32" t="str"/>
      <x:c r="BF99" s="32" t="str">
        <x:v>No</x:v>
      </x:c>
      <x:c r="BG99" s="32" t="str">
        <x:v>No</x:v>
      </x:c>
      <x:c r="BH99" s="32" t="n">
        <x:v>0</x:v>
      </x:c>
      <x:c r="BI99" s="32" t="str">
        <x:v>24h</x:v>
      </x:c>
      <x:c r="BJ99" s="32" t="str">
        <x:f>IFERROR(VLOOKUP(B99&amp;"|24h",'COMMENT_RECHECK'!$V$5:$Y$204,4,FALSE),"Pending")</x:f>
        <x:v>No Verified User Reply</x:v>
      </x:c>
      <x:c r="BK99" s="33" t="str">
        <x:f>IF(OR(COUNTIF($B$5:$B$104,B99)&gt;1,AND(T99="Posted",BC99&lt;&gt;"Yes"),AND(OR(BJ99="Verified User Reply",BJ99="Mixed Reply"),Y99="")),"Review","OK")</x:f>
        <x:v>OK</x:v>
      </x:c>
    </x:row>
    <x:row r="100">
      <x:c r="A100" s="49" t="n">
        <x:v>46227</x:v>
      </x:c>
      <x:c r="B100" s="32" t="str">
        <x:v>IC-0096</x:v>
      </x:c>
      <x:c r="C100" s="32" t="str">
        <x:v>Account Slot 6</x:v>
      </x:c>
      <x:c r="D100" s="32" t="str">
        <x:v>Synthetic Display 6</x:v>
      </x:c>
      <x:c r="E100" s="32" t="str">
        <x:v>14:05</x:v>
      </x:c>
      <x:c r="F100" s="32" t="str">
        <x:v>creator_case_096</x:v>
      </x:c>
      <x:c r="G100" s="32" t="str">
        <x:v>Tailoring</x:v>
      </x:c>
      <x:c r="H100" s="32" t="str">
        <x:v>https://video.invalid/case/V0096</x:v>
      </x:c>
      <x:c r="I100" s="32" t="str">
        <x:v>แฟชั่นวินเทจ</x:v>
      </x:c>
      <x:c r="J100" s="32" t="str">
        <x:v>2026-07-20 18:00</x:v>
      </x:c>
      <x:c r="K100" s="32" t="n">
        <x:v>4515</x:v>
      </x:c>
      <x:c r="L100" s="32" t="n">
        <x:v>375</x:v>
      </x:c>
      <x:c r="M100" s="32" t="str">
        <x:v>Main comment</x:v>
      </x:c>
      <x:c r="N100" s="32" t="str">
        <x:v>Main comment</x:v>
      </x:c>
      <x:c r="O100" s="32" t="str">
        <x:v>เป็นไอเดียแต่งตัวประจำวันที่ดูดีแบบไม่ต้องคิดเยอะค่ะ ถ้าจับคู่เบลเซอร์กับตัวครอบกระดุมโทนมุกแบบในรูป ลุคน่าจะ polished ขึ้นอีกนิด</x:v>
      </x:c>
      <x:c r="P100" s="32" t="str">
        <x:v>IMG004</x:v>
      </x:c>
      <x:c r="Q100" s="32" t="str">
        <x:v>Polished black blazer look with pearl and monochrome fashion-button details</x:v>
      </x:c>
      <x:c r="R100" s="32" t="str">
        <x:v>Synthetic context before</x:v>
      </x:c>
      <x:c r="S100" s="32" t="str">
        <x:v>Synthetic context after</x:v>
      </x:c>
      <x:c r="T100" s="32" t="str">
        <x:v>Posted</x:v>
      </x:c>
      <x:c r="U100" s="32" t="str">
        <x:f>IFERROR(VLOOKUP(B100&amp;"|24h",'COMMENT_RECHECK'!$V$5:$Y$204,2,FALSE),"Pending")</x:f>
        <x:v>Missing</x:v>
      </x:c>
      <x:c r="V100" s="32" t="n">
        <x:v>0</x:v>
      </x:c>
      <x:c r="W100" s="32" t="str"/>
      <x:c r="X100" s="32" t="n">
        <x:v>0</x:v>
      </x:c>
      <x:c r="Y100" s="32" t="str">
        <x:v>EVD-SYN-0096-POST</x:v>
      </x:c>
      <x:c r="Z100" s="32" t="str"/>
      <x:c r="AA100" s="32" t="str">
        <x:v>Advanced</x:v>
      </x:c>
      <x:c r="AB100" s="32" t="str">
        <x:v>N/A</x:v>
      </x:c>
      <x:c r="AC100" s="32" t="str">
        <x:v>Neutral</x:v>
      </x:c>
      <x:c r="AD100" s="32" t="str">
        <x:v>TH</x:v>
      </x:c>
      <x:c r="AE100" s="32" t="str">
        <x:v>Yes</x:v>
      </x:c>
      <x:c r="AF100" s="32" t="str">
        <x:v>Standard</x:v>
      </x:c>
      <x:c r="AG100" s="32" t="str">
        <x:v>LIB-016</x:v>
      </x:c>
      <x:c r="AH100" s="32" t="str">
        <x:v>TH</x:v>
      </x:c>
      <x:c r="AI100" s="32" t="str">
        <x:v>Main</x:v>
      </x:c>
      <x:c r="AJ100" s="32" t="str">
        <x:v>None</x:v>
      </x:c>
      <x:c r="AK100" s="32" t="str">
        <x:v>inputs/product_images/IMG004.png</x:v>
      </x:c>
      <x:c r="AL100" s="32" t="str"/>
      <x:c r="AM100" s="32" t="str">
        <x:v>N/A</x:v>
      </x:c>
      <x:c r="AN100" s="32" t="str">
        <x:v>N/A</x:v>
      </x:c>
      <x:c r="AO100" s="32" t="str"/>
      <x:c r="AP100" s="32" t="str">
        <x:v>No</x:v>
      </x:c>
      <x:c r="AQ100" s="32" t="str">
        <x:v>Not Started</x:v>
      </x:c>
      <x:c r="AR100" s="32" t="str">
        <x:v>N/A</x:v>
      </x:c>
      <x:c r="AS100" s="32" t="str">
        <x:f>IFERROR(VLOOKUP(B100&amp;"|24h",'COMMENT_RECHECK'!$V$5:$Y$204,3,FALSE),"")</x:f>
        <x:v>None</x:v>
      </x:c>
      <x:c r="AT100" s="32" t="str">
        <x:v>[SANITIZED]</x:v>
      </x:c>
      <x:c r="AU100" s="32" t="str">
        <x:v>case_account_06</x:v>
      </x:c>
      <x:c r="AV100" s="32" t="str">
        <x:v>[SANITIZED]</x:v>
      </x:c>
      <x:c r="AW100" s="32" t="str">
        <x:v>[SANITIZED]</x:v>
      </x:c>
      <x:c r="AX100" s="32" t="str">
        <x:v>[SANITIZED]</x:v>
      </x:c>
      <x:c r="AY100" s="32" t="str">
        <x:v>Manual Simulation</x:v>
      </x:c>
      <x:c r="AZ100" s="32" t="str">
        <x:v>2026-07-23 14:05</x:v>
      </x:c>
      <x:c r="BA100" s="32" t="str">
        <x:v>2026-07-23 14:05</x:v>
      </x:c>
      <x:c r="BB100" s="32" t="str">
        <x:v>Yes</x:v>
      </x:c>
      <x:c r="BC100" s="32" t="str">
        <x:v>Yes</x:v>
      </x:c>
      <x:c r="BD100" s="32" t="str"/>
      <x:c r="BE100" s="32" t="str"/>
      <x:c r="BF100" s="32" t="str">
        <x:v>No</x:v>
      </x:c>
      <x:c r="BG100" s="32" t="str">
        <x:v>No</x:v>
      </x:c>
      <x:c r="BH100" s="32" t="n">
        <x:v>0</x:v>
      </x:c>
      <x:c r="BI100" s="32" t="str">
        <x:v>24h</x:v>
      </x:c>
      <x:c r="BJ100" s="32" t="str">
        <x:f>IFERROR(VLOOKUP(B100&amp;"|24h",'COMMENT_RECHECK'!$V$5:$Y$204,4,FALSE),"Pending")</x:f>
        <x:v>No Verified User Reply</x:v>
      </x:c>
      <x:c r="BK100" s="33" t="str">
        <x:f>IF(OR(COUNTIF($B$5:$B$104,B100)&gt;1,AND(T100="Posted",BC100&lt;&gt;"Yes"),AND(OR(BJ100="Verified User Reply",BJ100="Mixed Reply"),Y100="")),"Review","OK")</x:f>
        <x:v>OK</x:v>
      </x:c>
    </x:row>
    <x:row r="101">
      <x:c r="A101" s="49" t="n">
        <x:v>46227</x:v>
      </x:c>
      <x:c r="B101" s="32" t="str">
        <x:v>IC-0097</x:v>
      </x:c>
      <x:c r="C101" s="32" t="str">
        <x:v>Account Slot 7</x:v>
      </x:c>
      <x:c r="D101" s="32" t="str">
        <x:v>Synthetic Display 7</x:v>
      </x:c>
      <x:c r="E101" s="32" t="str">
        <x:v>15:12</x:v>
      </x:c>
      <x:c r="F101" s="32" t="str">
        <x:v>creator_case_097</x:v>
      </x:c>
      <x:c r="G101" s="32" t="str">
        <x:v>Fashion</x:v>
      </x:c>
      <x:c r="H101" s="32" t="str">
        <x:v>https://video.invalid/case/V0097</x:v>
      </x:c>
      <x:c r="I101" s="32" t="str">
        <x:v>เสื้อเด็ก</x:v>
      </x:c>
      <x:c r="J101" s="32" t="str">
        <x:v>2026-07-20 18:00</x:v>
      </x:c>
      <x:c r="K101" s="32" t="n">
        <x:v>4552</x:v>
      </x:c>
      <x:c r="L101" s="32" t="n">
        <x:v>378</x:v>
      </x:c>
      <x:c r="M101" s="32" t="str">
        <x:v>Reply</x:v>
      </x:c>
      <x:c r="N101" s="32" t="str">
        <x:v>Synthetic parent</x:v>
      </x:c>
      <x:c r="O101" s="32" t="str">
        <x:v>ชุดนี้แต่งตามง่ายและเหมาะกับหลายโอกาสจริงค่ะ พอมีตัวครอบกระดุมชิ้นเล็กแบบในรูป ช่วงคอกับข้อมือก็ดูตั้งใจขึ้นทันที</x:v>
      </x:c>
      <x:c r="P101" s="32" t="str">
        <x:v>IMG002</x:v>
      </x:c>
      <x:c r="Q101" s="32" t="str">
        <x:v>White shirt with floral fashion-button details at the collar and cuff</x:v>
      </x:c>
      <x:c r="R101" s="32" t="str">
        <x:v>Synthetic context before</x:v>
      </x:c>
      <x:c r="S101" s="32" t="str">
        <x:v>Synthetic context after</x:v>
      </x:c>
      <x:c r="T101" s="32" t="str">
        <x:v>Posted</x:v>
      </x:c>
      <x:c r="U101" s="32" t="str">
        <x:f>IFERROR(VLOOKUP(B101&amp;"|24h",'COMMENT_RECHECK'!$V$5:$Y$204,2,FALSE),"Pending")</x:f>
        <x:v>Visible</x:v>
      </x:c>
      <x:c r="V101" s="32" t="n">
        <x:v>0</x:v>
      </x:c>
      <x:c r="W101" s="32" t="str"/>
      <x:c r="X101" s="32" t="n">
        <x:v>0</x:v>
      </x:c>
      <x:c r="Y101" s="32" t="str">
        <x:v>EVD-SYN-0097-POST</x:v>
      </x:c>
      <x:c r="Z101" s="32" t="str"/>
      <x:c r="AA101" s="32" t="str">
        <x:v>Advanced</x:v>
      </x:c>
      <x:c r="AB101" s="32" t="str">
        <x:v>N/A</x:v>
      </x:c>
      <x:c r="AC101" s="32" t="str">
        <x:v>Styled</x:v>
      </x:c>
      <x:c r="AD101" s="32" t="str">
        <x:v>TH</x:v>
      </x:c>
      <x:c r="AE101" s="32" t="str">
        <x:v>Yes</x:v>
      </x:c>
      <x:c r="AF101" s="32" t="str">
        <x:v>Standard</x:v>
      </x:c>
      <x:c r="AG101" s="32" t="str">
        <x:v>LIB-017</x:v>
      </x:c>
      <x:c r="AH101" s="32" t="str">
        <x:v>TH</x:v>
      </x:c>
      <x:c r="AI101" s="32" t="str">
        <x:v>Reply</x:v>
      </x:c>
      <x:c r="AJ101" s="32" t="str">
        <x:v>Reference</x:v>
      </x:c>
      <x:c r="AK101" s="32" t="str">
        <x:v>inputs/product_images/IMG002.png</x:v>
      </x:c>
      <x:c r="AL101" s="32" t="str"/>
      <x:c r="AM101" s="32" t="str">
        <x:v>Yes</x:v>
      </x:c>
      <x:c r="AN101" s="32" t="str">
        <x:v>Complete</x:v>
      </x:c>
      <x:c r="AO101" s="32" t="str"/>
      <x:c r="AP101" s="32" t="str">
        <x:v>No</x:v>
      </x:c>
      <x:c r="AQ101" s="32" t="str">
        <x:v>Not Started</x:v>
      </x:c>
      <x:c r="AR101" s="32" t="str">
        <x:v>Fit</x:v>
      </x:c>
      <x:c r="AS101" s="32" t="str">
        <x:f>IFERROR(VLOOKUP(B101&amp;"|24h",'COMMENT_RECHECK'!$V$5:$Y$204,3,FALSE),"")</x:f>
        <x:v>None</x:v>
      </x:c>
      <x:c r="AT101" s="32" t="str">
        <x:v>[SANITIZED]</x:v>
      </x:c>
      <x:c r="AU101" s="32" t="str">
        <x:v>case_account_07</x:v>
      </x:c>
      <x:c r="AV101" s="32" t="str">
        <x:v>[SANITIZED]</x:v>
      </x:c>
      <x:c r="AW101" s="32" t="str">
        <x:v>[SANITIZED]</x:v>
      </x:c>
      <x:c r="AX101" s="32" t="str">
        <x:v>[SANITIZED]</x:v>
      </x:c>
      <x:c r="AY101" s="32" t="str">
        <x:v>Manual Simulation</x:v>
      </x:c>
      <x:c r="AZ101" s="32" t="str">
        <x:v>2026-07-23 15:12</x:v>
      </x:c>
      <x:c r="BA101" s="32" t="str">
        <x:v>2026-07-23 15:12</x:v>
      </x:c>
      <x:c r="BB101" s="32" t="str">
        <x:v>Yes</x:v>
      </x:c>
      <x:c r="BC101" s="32" t="str">
        <x:v>Yes</x:v>
      </x:c>
      <x:c r="BD101" s="32" t="str"/>
      <x:c r="BE101" s="32" t="str"/>
      <x:c r="BF101" s="32" t="str">
        <x:v>No</x:v>
      </x:c>
      <x:c r="BG101" s="32" t="str">
        <x:v>No</x:v>
      </x:c>
      <x:c r="BH101" s="32" t="n">
        <x:v>0</x:v>
      </x:c>
      <x:c r="BI101" s="32" t="str">
        <x:v>24h</x:v>
      </x:c>
      <x:c r="BJ101" s="32" t="str">
        <x:f>IFERROR(VLOOKUP(B101&amp;"|24h",'COMMENT_RECHECK'!$V$5:$Y$204,4,FALSE),"Pending")</x:f>
        <x:v>No Verified User Reply</x:v>
      </x:c>
      <x:c r="BK101" s="33" t="str">
        <x:f>IF(OR(COUNTIF($B$5:$B$104,B101)&gt;1,AND(T101="Posted",BC101&lt;&gt;"Yes"),AND(OR(BJ101="Verified User Reply",BJ101="Mixed Reply"),Y101="")),"Review","OK")</x:f>
        <x:v>OK</x:v>
      </x:c>
    </x:row>
    <x:row r="102">
      <x:c r="A102" s="49" t="n">
        <x:v>46227</x:v>
      </x:c>
      <x:c r="B102" s="32" t="str">
        <x:v>IC-0098</x:v>
      </x:c>
      <x:c r="C102" s="32" t="str">
        <x:v>Account Slot 8</x:v>
      </x:c>
      <x:c r="D102" s="32" t="str">
        <x:v>Synthetic Display 8</x:v>
      </x:c>
      <x:c r="E102" s="32" t="str">
        <x:v>16:19</x:v>
      </x:c>
      <x:c r="F102" s="32" t="str">
        <x:v>creator_case_098</x:v>
      </x:c>
      <x:c r="G102" s="32" t="str">
        <x:v>DIY</x:v>
      </x:c>
      <x:c r="H102" s="32" t="str">
        <x:v>https://video.invalid/case/V0098</x:v>
      </x:c>
      <x:c r="I102" s="32" t="str">
        <x:v>เสื้อคลุม</x:v>
      </x:c>
      <x:c r="J102" s="32" t="str">
        <x:v>2026-07-20 18:00</x:v>
      </x:c>
      <x:c r="K102" s="32" t="n">
        <x:v>4589</x:v>
      </x:c>
      <x:c r="L102" s="32" t="n">
        <x:v>381</x:v>
      </x:c>
      <x:c r="M102" s="32" t="str">
        <x:v>Main comment</x:v>
      </x:c>
      <x:c r="N102" s="32" t="str">
        <x:v>Main comment</x:v>
      </x:c>
      <x:c r="O102" s="32" t="str">
        <x:v>เลเยอร์แบบนี้ทำให้ชุดดูมีมิติโดยยังสบายตาอยู่ ถ้าอยากเปลี่ยนฟีลเสื้อตัวเดิม ลองเติมตัวครอบกระดุมตรงคอหรือปลายแขนแบบในรูปดูค่ะ</x:v>
      </x:c>
      <x:c r="P102" s="32" t="str">
        <x:v>IMG002</x:v>
      </x:c>
      <x:c r="Q102" s="32" t="str">
        <x:v>White shirt with floral fashion-button details at the collar and cuff</x:v>
      </x:c>
      <x:c r="R102" s="32" t="str">
        <x:v>Synthetic context before</x:v>
      </x:c>
      <x:c r="S102" s="32" t="str">
        <x:v>Synthetic context after</x:v>
      </x:c>
      <x:c r="T102" s="32" t="str">
        <x:v>Posted</x:v>
      </x:c>
      <x:c r="U102" s="32" t="str">
        <x:f>IFERROR(VLOOKUP(B102&amp;"|24h",'COMMENT_RECHECK'!$V$5:$Y$204,2,FALSE),"Pending")</x:f>
        <x:v>Visible</x:v>
      </x:c>
      <x:c r="V102" s="32" t="n">
        <x:v>0</x:v>
      </x:c>
      <x:c r="W102" s="32" t="str"/>
      <x:c r="X102" s="32" t="n">
        <x:v>0</x:v>
      </x:c>
      <x:c r="Y102" s="32" t="str">
        <x:v>EVD-SYN-0098-POST</x:v>
      </x:c>
      <x:c r="Z102" s="32" t="str"/>
      <x:c r="AA102" s="32" t="str">
        <x:v>Advanced</x:v>
      </x:c>
      <x:c r="AB102" s="32" t="str">
        <x:v>N/A</x:v>
      </x:c>
      <x:c r="AC102" s="32" t="str">
        <x:v>Neutral</x:v>
      </x:c>
      <x:c r="AD102" s="32" t="str">
        <x:v>TH</x:v>
      </x:c>
      <x:c r="AE102" s="32" t="str">
        <x:v>Yes</x:v>
      </x:c>
      <x:c r="AF102" s="32" t="str">
        <x:v>Standard</x:v>
      </x:c>
      <x:c r="AG102" s="32" t="str">
        <x:v>LIB-018</x:v>
      </x:c>
      <x:c r="AH102" s="32" t="str">
        <x:v>TH</x:v>
      </x:c>
      <x:c r="AI102" s="32" t="str">
        <x:v>Main</x:v>
      </x:c>
      <x:c r="AJ102" s="32" t="str">
        <x:v>None</x:v>
      </x:c>
      <x:c r="AK102" s="32" t="str">
        <x:v>inputs/product_images/IMG002.png</x:v>
      </x:c>
      <x:c r="AL102" s="32" t="str"/>
      <x:c r="AM102" s="32" t="str">
        <x:v>N/A</x:v>
      </x:c>
      <x:c r="AN102" s="32" t="str">
        <x:v>N/A</x:v>
      </x:c>
      <x:c r="AO102" s="32" t="str"/>
      <x:c r="AP102" s="32" t="str">
        <x:v>No</x:v>
      </x:c>
      <x:c r="AQ102" s="32" t="str">
        <x:v>Not Started</x:v>
      </x:c>
      <x:c r="AR102" s="32" t="str">
        <x:v>N/A</x:v>
      </x:c>
      <x:c r="AS102" s="32" t="str">
        <x:f>IFERROR(VLOOKUP(B102&amp;"|24h",'COMMENT_RECHECK'!$V$5:$Y$204,3,FALSE),"")</x:f>
        <x:v>None</x:v>
      </x:c>
      <x:c r="AT102" s="32" t="str">
        <x:v>[SANITIZED]</x:v>
      </x:c>
      <x:c r="AU102" s="32" t="str">
        <x:v>case_account_08</x:v>
      </x:c>
      <x:c r="AV102" s="32" t="str">
        <x:v>[SANITIZED]</x:v>
      </x:c>
      <x:c r="AW102" s="32" t="str">
        <x:v>[SANITIZED]</x:v>
      </x:c>
      <x:c r="AX102" s="32" t="str">
        <x:v>[SANITIZED]</x:v>
      </x:c>
      <x:c r="AY102" s="32" t="str">
        <x:v>Manual Simulation</x:v>
      </x:c>
      <x:c r="AZ102" s="32" t="str">
        <x:v>2026-07-23 16:19</x:v>
      </x:c>
      <x:c r="BA102" s="32" t="str">
        <x:v>2026-07-23 16:19</x:v>
      </x:c>
      <x:c r="BB102" s="32" t="str">
        <x:v>Yes</x:v>
      </x:c>
      <x:c r="BC102" s="32" t="str">
        <x:v>Yes</x:v>
      </x:c>
      <x:c r="BD102" s="32" t="str"/>
      <x:c r="BE102" s="32" t="str"/>
      <x:c r="BF102" s="32" t="str">
        <x:v>No</x:v>
      </x:c>
      <x:c r="BG102" s="32" t="str">
        <x:v>No</x:v>
      </x:c>
      <x:c r="BH102" s="32" t="n">
        <x:v>0</x:v>
      </x:c>
      <x:c r="BI102" s="32" t="str">
        <x:v>24h</x:v>
      </x:c>
      <x:c r="BJ102" s="32" t="str">
        <x:f>IFERROR(VLOOKUP(B102&amp;"|24h",'COMMENT_RECHECK'!$V$5:$Y$204,4,FALSE),"Pending")</x:f>
        <x:v>No Verified User Reply</x:v>
      </x:c>
      <x:c r="BK102" s="33" t="str">
        <x:f>IF(OR(COUNTIF($B$5:$B$104,B102)&gt;1,AND(T102="Posted",BC102&lt;&gt;"Yes"),AND(OR(BJ102="Verified User Reply",BJ102="Mixed Reply"),Y102="")),"Review","OK")</x:f>
        <x:v>OK</x:v>
      </x:c>
    </x:row>
    <x:row r="103">
      <x:c r="A103" s="49" t="n">
        <x:v>46227</x:v>
      </x:c>
      <x:c r="B103" s="32" t="str">
        <x:v>IC-0099</x:v>
      </x:c>
      <x:c r="C103" s="32" t="str">
        <x:v>Account Slot 9</x:v>
      </x:c>
      <x:c r="D103" s="32" t="str">
        <x:v>Synthetic Display 9</x:v>
      </x:c>
      <x:c r="E103" s="32" t="str">
        <x:v>17:26</x:v>
      </x:c>
      <x:c r="F103" s="32" t="str">
        <x:v>creator_case_099</x:v>
      </x:c>
      <x:c r="G103" s="32" t="str">
        <x:v>Lifestyle</x:v>
      </x:c>
      <x:c r="H103" s="32" t="str">
        <x:v>https://video.invalid/case/V0099</x:v>
      </x:c>
      <x:c r="I103" s="32" t="str">
        <x:v>การจับคู่สี</x:v>
      </x:c>
      <x:c r="J103" s="32" t="str">
        <x:v>2026-07-20 18:00</x:v>
      </x:c>
      <x:c r="K103" s="32" t="n">
        <x:v>4626</x:v>
      </x:c>
      <x:c r="L103" s="32" t="n">
        <x:v>384</x:v>
      </x:c>
      <x:c r="M103" s="32" t="str">
        <x:v>Main comment</x:v>
      </x:c>
      <x:c r="N103" s="32" t="str">
        <x:v>Main comment</x:v>
      </x:c>
      <x:c r="O103" s="32" t="str">
        <x:v>โปโลทรงนี้ให้ฟีลเรียบแต่ไม่ธรรมดาดีค่ะ จุดเล็ก ๆ โทนชมพูแบบในรูปทำให้เสื้อขาวดูละมุนและแต่งสนุกขึ้นมาก</x:v>
      </x:c>
      <x:c r="P103" s="32" t="str">
        <x:v>IMG002</x:v>
      </x:c>
      <x:c r="Q103" s="32" t="str">
        <x:v>White shirt with floral fashion-button details at the collar and cuff</x:v>
      </x:c>
      <x:c r="R103" s="32" t="str">
        <x:v>Synthetic context before</x:v>
      </x:c>
      <x:c r="S103" s="32" t="str">
        <x:v>Synthetic context after</x:v>
      </x:c>
      <x:c r="T103" s="32" t="str">
        <x:v>Posted</x:v>
      </x:c>
      <x:c r="U103" s="32" t="str">
        <x:f>IFERROR(VLOOKUP(B103&amp;"|24h",'COMMENT_RECHECK'!$V$5:$Y$204,2,FALSE),"Pending")</x:f>
        <x:v>Visible</x:v>
      </x:c>
      <x:c r="V103" s="32" t="n">
        <x:v>1</x:v>
      </x:c>
      <x:c r="W103" s="32" t="str">
        <x:v>Synthetic reply preview</x:v>
      </x:c>
      <x:c r="X103" s="32" t="n">
        <x:v>0</x:v>
      </x:c>
      <x:c r="Y103" s="32" t="str">
        <x:v>EVD-SYN-0099-POST</x:v>
      </x:c>
      <x:c r="Z103" s="32" t="str"/>
      <x:c r="AA103" s="32" t="str">
        <x:v>Advanced</x:v>
      </x:c>
      <x:c r="AB103" s="32" t="str">
        <x:v>N/A</x:v>
      </x:c>
      <x:c r="AC103" s="32" t="str">
        <x:v>Styled</x:v>
      </x:c>
      <x:c r="AD103" s="32" t="str">
        <x:v>TH</x:v>
      </x:c>
      <x:c r="AE103" s="32" t="str">
        <x:v>Yes</x:v>
      </x:c>
      <x:c r="AF103" s="32" t="str">
        <x:v>Standard</x:v>
      </x:c>
      <x:c r="AG103" s="32" t="str">
        <x:v>LIB-019</x:v>
      </x:c>
      <x:c r="AH103" s="32" t="str">
        <x:v>TH</x:v>
      </x:c>
      <x:c r="AI103" s="32" t="str">
        <x:v>Main</x:v>
      </x:c>
      <x:c r="AJ103" s="32" t="str">
        <x:v>None</x:v>
      </x:c>
      <x:c r="AK103" s="32" t="str">
        <x:v>inputs/product_images/IMG002.png</x:v>
      </x:c>
      <x:c r="AL103" s="32" t="str"/>
      <x:c r="AM103" s="32" t="str">
        <x:v>N/A</x:v>
      </x:c>
      <x:c r="AN103" s="32" t="str">
        <x:v>N/A</x:v>
      </x:c>
      <x:c r="AO103" s="32" t="str"/>
      <x:c r="AP103" s="32" t="str">
        <x:v>Potential</x:v>
      </x:c>
      <x:c r="AQ103" s="32" t="str">
        <x:v>Not Started</x:v>
      </x:c>
      <x:c r="AR103" s="32" t="str">
        <x:v>N/A</x:v>
      </x:c>
      <x:c r="AS103" s="32" t="str">
        <x:f>IFERROR(VLOOKUP(B103&amp;"|24h",'COMMENT_RECHECK'!$V$5:$Y$204,3,FALSE),"")</x:f>
        <x:v>User</x:v>
      </x:c>
      <x:c r="AT103" s="32" t="str">
        <x:v>[SANITIZED]</x:v>
      </x:c>
      <x:c r="AU103" s="32" t="str">
        <x:v>case_account_09</x:v>
      </x:c>
      <x:c r="AV103" s="32" t="str">
        <x:v>[SANITIZED]</x:v>
      </x:c>
      <x:c r="AW103" s="32" t="str">
        <x:v>[SANITIZED]</x:v>
      </x:c>
      <x:c r="AX103" s="32" t="str">
        <x:v>[SANITIZED]</x:v>
      </x:c>
      <x:c r="AY103" s="32" t="str">
        <x:v>Manual Simulation</x:v>
      </x:c>
      <x:c r="AZ103" s="32" t="str">
        <x:v>2026-07-23 17:26</x:v>
      </x:c>
      <x:c r="BA103" s="32" t="str">
        <x:v>2026-07-23 17:26</x:v>
      </x:c>
      <x:c r="BB103" s="32" t="str">
        <x:v>Yes</x:v>
      </x:c>
      <x:c r="BC103" s="32" t="str">
        <x:v>Yes</x:v>
      </x:c>
      <x:c r="BD103" s="32" t="str"/>
      <x:c r="BE103" s="32" t="str"/>
      <x:c r="BF103" s="32" t="str">
        <x:v>No</x:v>
      </x:c>
      <x:c r="BG103" s="32" t="str">
        <x:v>No</x:v>
      </x:c>
      <x:c r="BH103" s="32" t="n">
        <x:v>0</x:v>
      </x:c>
      <x:c r="BI103" s="32" t="str">
        <x:v>24h</x:v>
      </x:c>
      <x:c r="BJ103" s="32" t="str">
        <x:f>IFERROR(VLOOKUP(B103&amp;"|24h",'COMMENT_RECHECK'!$V$5:$Y$204,4,FALSE),"Pending")</x:f>
        <x:v>Verified User Reply</x:v>
      </x:c>
      <x:c r="BK103" s="33" t="str">
        <x:f>IF(OR(COUNTIF($B$5:$B$104,B103)&gt;1,AND(T103="Posted",BC103&lt;&gt;"Yes"),AND(OR(BJ103="Verified User Reply",BJ103="Mixed Reply"),Y103="")),"Review","OK")</x:f>
        <x:v>OK</x:v>
      </x:c>
    </x:row>
    <x:row r="104">
      <x:c r="A104" s="50" t="n">
        <x:v>46227</x:v>
      </x:c>
      <x:c r="B104" s="35" t="str">
        <x:v>IC-0100</x:v>
      </x:c>
      <x:c r="C104" s="35" t="str">
        <x:v>Account Slot 10</x:v>
      </x:c>
      <x:c r="D104" s="35" t="str">
        <x:v>Synthetic Display 10</x:v>
      </x:c>
      <x:c r="E104" s="35" t="str">
        <x:v>18:33</x:v>
      </x:c>
      <x:c r="F104" s="35" t="str">
        <x:v>creator_case_100</x:v>
      </x:c>
      <x:c r="G104" s="35" t="str">
        <x:v>Tailoring</x:v>
      </x:c>
      <x:c r="H104" s="35" t="str">
        <x:v>https://video.invalid/case/V0100</x:v>
      </x:c>
      <x:c r="I104" s="35" t="str">
        <x:v>รีวิวงานฝีมือ</x:v>
      </x:c>
      <x:c r="J104" s="35" t="str">
        <x:v>2026-07-20 18:00</x:v>
      </x:c>
      <x:c r="K104" s="35" t="n">
        <x:v>4663</x:v>
      </x:c>
      <x:c r="L104" s="35" t="n">
        <x:v>387</x:v>
      </x:c>
      <x:c r="M104" s="35" t="str">
        <x:v>Main comment</x:v>
      </x:c>
      <x:c r="N104" s="35" t="str">
        <x:v>Main comment</x:v>
      </x:c>
      <x:c r="O104" s="35" t="str">
        <x:v>ชอบความ polished ของชุดนี้ ดูมั่นใจมากเลย ถ้าเติมจุดเล็กบนปกสูทแบบในรูป ชุดทำงานเดิมน่าจะได้มู้ดใหม่ที่ละมุนขึ้นค่ะ</x:v>
      </x:c>
      <x:c r="P104" s="35" t="str">
        <x:v>IMG004</x:v>
      </x:c>
      <x:c r="Q104" s="35" t="str">
        <x:v>Polished black blazer look with pearl and monochrome fashion-button details</x:v>
      </x:c>
      <x:c r="R104" s="35" t="str">
        <x:v>Synthetic context before</x:v>
      </x:c>
      <x:c r="S104" s="35" t="str">
        <x:v>Synthetic context after</x:v>
      </x:c>
      <x:c r="T104" s="35" t="str">
        <x:v>Posted</x:v>
      </x:c>
      <x:c r="U104" s="35" t="str">
        <x:f>IFERROR(VLOOKUP(B104&amp;"|24h",'COMMENT_RECHECK'!$V$5:$Y$204,2,FALSE),"Pending")</x:f>
        <x:v>Visible</x:v>
      </x:c>
      <x:c r="V104" s="35" t="n">
        <x:v>1</x:v>
      </x:c>
      <x:c r="W104" s="35" t="str">
        <x:v>Synthetic reply preview</x:v>
      </x:c>
      <x:c r="X104" s="35" t="n">
        <x:v>0</x:v>
      </x:c>
      <x:c r="Y104" s="35" t="str">
        <x:v>EVD-SYN-0100-POST</x:v>
      </x:c>
      <x:c r="Z104" s="35" t="str"/>
      <x:c r="AA104" s="35" t="str">
        <x:v>Advanced</x:v>
      </x:c>
      <x:c r="AB104" s="35" t="str">
        <x:v>N/A</x:v>
      </x:c>
      <x:c r="AC104" s="35" t="str">
        <x:v>Neutral</x:v>
      </x:c>
      <x:c r="AD104" s="35" t="str">
        <x:v>TH</x:v>
      </x:c>
      <x:c r="AE104" s="35" t="str">
        <x:v>Yes</x:v>
      </x:c>
      <x:c r="AF104" s="35" t="str">
        <x:v>Standard</x:v>
      </x:c>
      <x:c r="AG104" s="35" t="str">
        <x:v>LIB-020</x:v>
      </x:c>
      <x:c r="AH104" s="35" t="str">
        <x:v>TH</x:v>
      </x:c>
      <x:c r="AI104" s="35" t="str">
        <x:v>Main</x:v>
      </x:c>
      <x:c r="AJ104" s="35" t="str">
        <x:v>None</x:v>
      </x:c>
      <x:c r="AK104" s="35" t="str">
        <x:v>inputs/product_images/IMG004.png</x:v>
      </x:c>
      <x:c r="AL104" s="35" t="str"/>
      <x:c r="AM104" s="35" t="str">
        <x:v>N/A</x:v>
      </x:c>
      <x:c r="AN104" s="35" t="str">
        <x:v>N/A</x:v>
      </x:c>
      <x:c r="AO104" s="35" t="str"/>
      <x:c r="AP104" s="35" t="str">
        <x:v>No</x:v>
      </x:c>
      <x:c r="AQ104" s="35" t="str">
        <x:v>Not Started</x:v>
      </x:c>
      <x:c r="AR104" s="35" t="str">
        <x:v>N/A</x:v>
      </x:c>
      <x:c r="AS104" s="35" t="str">
        <x:f>IFERROR(VLOOKUP(B104&amp;"|24h",'COMMENT_RECHECK'!$V$5:$Y$204,3,FALSE),"")</x:f>
        <x:v>Creator</x:v>
      </x:c>
      <x:c r="AT104" s="35" t="str">
        <x:v>[SANITIZED]</x:v>
      </x:c>
      <x:c r="AU104" s="35" t="str">
        <x:v>case_account_10</x:v>
      </x:c>
      <x:c r="AV104" s="35" t="str">
        <x:v>[SANITIZED]</x:v>
      </x:c>
      <x:c r="AW104" s="35" t="str">
        <x:v>[SANITIZED]</x:v>
      </x:c>
      <x:c r="AX104" s="35" t="str">
        <x:v>[SANITIZED]</x:v>
      </x:c>
      <x:c r="AY104" s="35" t="str">
        <x:v>Manual Simulation</x:v>
      </x:c>
      <x:c r="AZ104" s="35" t="str">
        <x:v>2026-07-23 18:33</x:v>
      </x:c>
      <x:c r="BA104" s="35" t="str">
        <x:v>2026-07-23 18:33</x:v>
      </x:c>
      <x:c r="BB104" s="35" t="str">
        <x:v>Yes</x:v>
      </x:c>
      <x:c r="BC104" s="35" t="str">
        <x:v>Yes</x:v>
      </x:c>
      <x:c r="BD104" s="35" t="str"/>
      <x:c r="BE104" s="35" t="str"/>
      <x:c r="BF104" s="35" t="str">
        <x:v>No</x:v>
      </x:c>
      <x:c r="BG104" s="35" t="str">
        <x:v>No</x:v>
      </x:c>
      <x:c r="BH104" s="35" t="n">
        <x:v>0</x:v>
      </x:c>
      <x:c r="BI104" s="35" t="str">
        <x:v>24h</x:v>
      </x:c>
      <x:c r="BJ104" s="35" t="str">
        <x:f>IFERROR(VLOOKUP(B104&amp;"|24h",'COMMENT_RECHECK'!$V$5:$Y$204,4,FALSE),"Pending")</x:f>
        <x:v>No Verified User Reply</x:v>
      </x:c>
      <x:c r="BK104" s="36" t="str">
        <x:f>IF(OR(COUNTIF($B$5:$B$104,B104)&gt;1,AND(T104="Posted",BC104&lt;&gt;"Yes"),AND(OR(BJ104="Verified User Reply",BJ104="Mixed Reply"),Y104="")),"Review","OK")</x:f>
        <x:v>OK</x:v>
      </x:c>
    </x:row>
  </x:sheetData>
  <x:mergeCells>
    <x:mergeCell ref="A1:H1"/>
    <x:mergeCell ref="A2:H2"/>
  </x:mergeCells>
  <x:conditionalFormatting sqref="BK5:BK104">
    <x:cfRule type="containsText" dxfId="8" priority="1" operator="containsText" text="Review"/>
    <x:cfRule type="containsText" dxfId="9" priority="2" operator="containsText" text="OK"/>
  </x:conditionalFormatting>
  <x:conditionalFormatting sqref="U5:U104">
    <x:cfRule type="containsText" dxfId="10" priority="3" operator="containsText" text="Visible"/>
    <x:cfRule type="containsText" dxfId="11" priority="4" operator="containsText" text="Missing"/>
    <x:cfRule type="containsText" dxfId="12" priority="5" operator="containsText" text="Inconclusive"/>
  </x:conditionalFormatting>
  <x:dataValidations count="3">
    <x:dataValidation type="list" sqref="T5:T104">
      <x:formula1>"Planned,Posted,Failed"</x:formula1>
    </x:dataValidation>
    <x:dataValidation type="list" sqref="U5:U104">
      <x:formula1>"Visible,Missing,Inconclusive,Pending"</x:formula1>
    </x:dataValidation>
    <x:dataValidation type="list" sqref="AS5:AS104">
      <x:formula1>"User,Creator,Mixed,None,"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e43e23739445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 ht="28" customHeight="1">
      <x:c r="A1" s="3" t="str">
        <x:v>05 Comment Recheck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Imported synthetic 30m/24h verification rows. Formula helpers support auditable roll-up to sheet 04.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Recheck Date</x:v>
      </x:c>
      <x:c r="B4" s="16" t="str">
        <x:v>Recheck Time</x:v>
      </x:c>
      <x:c r="C4" s="16" t="str">
        <x:v>Original Date</x:v>
      </x:c>
      <x:c r="D4" s="16" t="str">
        <x:v>Comment ID</x:v>
      </x:c>
      <x:c r="E4" s="16" t="str">
        <x:v>Comment Account</x:v>
      </x:c>
      <x:c r="F4" s="16" t="str">
        <x:v>Target Video URL</x:v>
      </x:c>
      <x:c r="G4" s="16" t="str">
        <x:v>Target Creator</x:v>
      </x:c>
      <x:c r="H4" s="16" t="str">
        <x:v>Original 24h Visibility</x:v>
      </x:c>
      <x:c r="I4" s="16" t="str">
        <x:v>Recheck Result</x:v>
      </x:c>
      <x:c r="J4" s="16" t="str">
        <x:v>Evidence ID</x:v>
      </x:c>
      <x:c r="K4" s="16" t="str">
        <x:v>Recheck Note</x:v>
      </x:c>
      <x:c r="L4" s="16" t="str">
        <x:v>Action Required</x:v>
      </x:c>
      <x:c r="M4" s="16" t="str">
        <x:v>QC Status</x:v>
      </x:c>
      <x:c r="N4" s="16" t="str">
        <x:v>Original Comment Text</x:v>
      </x:c>
      <x:c r="O4" s="16" t="str">
        <x:v>Matched Comment Text</x:v>
      </x:c>
      <x:c r="P4" s="16" t="str">
        <x:v>Matched Reply Count</x:v>
      </x:c>
      <x:c r="Q4" s="16" t="str">
        <x:v>Matched Reply Preview</x:v>
      </x:c>
      <x:c r="R4" s="16" t="str">
        <x:v>Matched Reply Owner Type</x:v>
      </x:c>
      <x:c r="S4" s="16" t="str">
        <x:v>Verification Timepoint</x:v>
      </x:c>
      <x:c r="T4" s="16" t="str">
        <x:v>Verified User Reply Status</x:v>
      </x:c>
      <x:c r="U4" s="16" t="str">
        <x:v>Import Batch ID</x:v>
      </x:c>
      <x:c r="V4" s="16" t="str">
        <x:v>Lookup Key</x:v>
      </x:c>
      <x:c r="W4" s="16" t="str">
        <x:v>Lookup Result</x:v>
      </x:c>
      <x:c r="X4" s="16" t="str">
        <x:v>Lookup Reply Owner</x:v>
      </x:c>
      <x:c r="Y4" s="17" t="str">
        <x:v>Lookup Verified Status</x:v>
      </x:c>
    </x:row>
    <x:row r="5">
      <x:c r="A5" s="48" t="n">
        <x:v>46224</x:v>
      </x:c>
      <x:c r="B5" s="29" t="str">
        <x:v>12:30</x:v>
      </x:c>
      <x:c r="C5" s="51" t="n">
        <x:v>46224</x:v>
      </x:c>
      <x:c r="D5" s="29" t="str">
        <x:v>IC-0001</x:v>
      </x:c>
      <x:c r="E5" s="29" t="str">
        <x:v>Account Slot 1</x:v>
      </x:c>
      <x:c r="F5" s="29" t="str">
        <x:v>https://video.invalid/case/V0001</x:v>
      </x:c>
      <x:c r="G5" s="29" t="str">
        <x:v>creator_case_001</x:v>
      </x:c>
      <x:c r="H5" s="29" t="str">
        <x:v>Pending</x:v>
      </x:c>
      <x:c r="I5" s="29" t="str">
        <x:v>Missing</x:v>
      </x:c>
      <x:c r="J5" s="29" t="str">
        <x:v>EVD-SYN-0001-30M</x:v>
      </x:c>
      <x:c r="K5" s="29" t="str">
        <x:v>30m verification</x:v>
      </x:c>
      <x:c r="L5" s="29" t="str">
        <x:v>None</x:v>
      </x:c>
      <x:c r="M5" s="29" t="str">
        <x:v>Pass</x:v>
      </x:c>
      <x:c r="N5" s="29" t="str">
        <x:v>ลุคคอปกนี้ดูคลีนและใส่ไปทำงานได้จริงเลย ความวิบวับแบบเบา ๆ ในรูปทำให้เสื้อพื้นฐานดูมีคาแรกเตอร์โดยไม่ต้องใส่สร้อยเพิ่ม</x:v>
      </x:c>
      <x:c r="O5" s="29"/>
      <x:c r="P5" s="29" t="n">
        <x:v>0</x:v>
      </x:c>
      <x:c r="Q5" s="29" t="str"/>
      <x:c r="R5" s="29" t="str">
        <x:v>None</x:v>
      </x:c>
      <x:c r="S5" s="29" t="str">
        <x:v>30m</x:v>
      </x:c>
      <x:c r="T5" s="29" t="str">
        <x:f>IF(I5="Inconclusive","Inconclusive",IF(AND(OR(R5="User",R5="Mixed"),J5&lt;&gt;""),IF(R5="Mixed","Mixed Reply","Verified User Reply"),"No Verified User Reply"))</x:f>
        <x:v>No Verified User Reply</x:v>
      </x:c>
      <x:c r="U5" s="29" t="str">
        <x:v>BATCH-VERIFY-30M</x:v>
      </x:c>
      <x:c r="V5" s="29" t="str">
        <x:f>D5&amp;"|"&amp;S5</x:f>
        <x:v>IC-0001|30m</x:v>
      </x:c>
      <x:c r="W5" s="29" t="str">
        <x:f>I5</x:f>
        <x:v>Missing</x:v>
      </x:c>
      <x:c r="X5" s="29" t="str">
        <x:f>R5</x:f>
        <x:v>None</x:v>
      </x:c>
      <x:c r="Y5" s="30" t="str">
        <x:f>T5</x:f>
        <x:v>No Verified User Reply</x:v>
      </x:c>
    </x:row>
    <x:row r="6">
      <x:c r="A6" s="49" t="n">
        <x:v>46225</x:v>
      </x:c>
      <x:c r="B6" s="32" t="str">
        <x:v>12:00</x:v>
      </x:c>
      <x:c r="C6" s="52" t="n">
        <x:v>46224</x:v>
      </x:c>
      <x:c r="D6" s="32" t="str">
        <x:v>IC-0001</x:v>
      </x:c>
      <x:c r="E6" s="32" t="str">
        <x:v>Account Slot 1</x:v>
      </x:c>
      <x:c r="F6" s="32" t="str">
        <x:v>https://video.invalid/case/V0001</x:v>
      </x:c>
      <x:c r="G6" s="32" t="str">
        <x:v>creator_case_001</x:v>
      </x:c>
      <x:c r="H6" s="32" t="str">
        <x:v>Pending</x:v>
      </x:c>
      <x:c r="I6" s="32" t="str">
        <x:v>Missing</x:v>
      </x:c>
      <x:c r="J6" s="32" t="str">
        <x:v>EVD-SYN-0001-24H</x:v>
      </x:c>
      <x:c r="K6" s="32" t="str">
        <x:v>24h verification</x:v>
      </x:c>
      <x:c r="L6" s="32" t="str">
        <x:v>None</x:v>
      </x:c>
      <x:c r="M6" s="32" t="str">
        <x:v>Pass</x:v>
      </x:c>
      <x:c r="N6" s="32" t="str">
        <x:v>ลุคคอปกนี้ดูคลีนและใส่ไปทำงานได้จริงเลย ความวิบวับแบบเบา ๆ ในรูปทำให้เสื้อพื้นฐานดูมีคาแรกเตอร์โดยไม่ต้องใส่สร้อยเพิ่ม</x:v>
      </x:c>
      <x:c r="O6" s="32"/>
      <x:c r="P6" s="32" t="n">
        <x:v>0</x:v>
      </x:c>
      <x:c r="Q6" s="32" t="str"/>
      <x:c r="R6" s="32" t="str">
        <x:v>None</x:v>
      </x:c>
      <x:c r="S6" s="32" t="str">
        <x:v>24h</x:v>
      </x:c>
      <x:c r="T6" s="32" t="str">
        <x:f>IF(I6="Inconclusive","Inconclusive",IF(AND(OR(R6="User",R6="Mixed"),J6&lt;&gt;""),IF(R6="Mixed","Mixed Reply","Verified User Reply"),"No Verified User Reply"))</x:f>
        <x:v>No Verified User Reply</x:v>
      </x:c>
      <x:c r="U6" s="32" t="str">
        <x:v>BATCH-VERIFY-24H</x:v>
      </x:c>
      <x:c r="V6" s="32" t="str">
        <x:f>D6&amp;"|"&amp;S6</x:f>
        <x:v>IC-0001|24h</x:v>
      </x:c>
      <x:c r="W6" s="32" t="str">
        <x:f>I6</x:f>
        <x:v>Missing</x:v>
      </x:c>
      <x:c r="X6" s="32" t="str">
        <x:f>R6</x:f>
        <x:v>None</x:v>
      </x:c>
      <x:c r="Y6" s="33" t="str">
        <x:f>T6</x:f>
        <x:v>No Verified User Reply</x:v>
      </x:c>
    </x:row>
    <x:row r="7">
      <x:c r="A7" s="49" t="n">
        <x:v>46224</x:v>
      </x:c>
      <x:c r="B7" s="32" t="str">
        <x:v>12:30</x:v>
      </x:c>
      <x:c r="C7" s="52" t="n">
        <x:v>46224</x:v>
      </x:c>
      <x:c r="D7" s="32" t="str">
        <x:v>IC-0002</x:v>
      </x:c>
      <x:c r="E7" s="32" t="str">
        <x:v>Account Slot 2</x:v>
      </x:c>
      <x:c r="F7" s="32" t="str">
        <x:v>https://video.invalid/case/V0002</x:v>
      </x:c>
      <x:c r="G7" s="32" t="str">
        <x:v>creator_case_002</x:v>
      </x:c>
      <x:c r="H7" s="32" t="str">
        <x:v>Pending</x:v>
      </x:c>
      <x:c r="I7" s="32" t="str">
        <x:v>Visible</x:v>
      </x:c>
      <x:c r="J7" s="32" t="str">
        <x:v>EVD-SYN-0002-30M</x:v>
      </x:c>
      <x:c r="K7" s="32" t="str">
        <x:v>30m verification</x:v>
      </x:c>
      <x:c r="L7" s="32" t="str">
        <x:v>None</x:v>
      </x:c>
      <x:c r="M7" s="32" t="str">
        <x:v>Pass</x:v>
      </x:c>
      <x:c r="N7" s="32" t="str">
        <x:v>ชอบการแมตช์สูทที่ดูสุภาพแต่ยังมีความแฟชั่นอยู่ค่ะ ลุคนี้ลองเพิ่มตัวครอบกระดุมโทนมุกกับ blazer แบบในรูป น่าจะดูแพงขึ้นพอดี</x:v>
      </x:c>
      <x:c r="O7" s="32" t="str">
        <x:v>ชอบการแมตช์สูทที่ดูสุภาพแต่ยังมีความแฟชั่นอยู่ค่ะ ลุคนี้ลองเพิ่มตัวครอบกระดุมโทนมุกกับ blazer แบบในรูป น่าจะดูแพงขึ้นพอดี</x:v>
      </x:c>
      <x:c r="P7" s="32" t="n">
        <x:v>0</x:v>
      </x:c>
      <x:c r="Q7" s="32" t="str"/>
      <x:c r="R7" s="32" t="str">
        <x:v>None</x:v>
      </x:c>
      <x:c r="S7" s="32" t="str">
        <x:v>30m</x:v>
      </x:c>
      <x:c r="T7" s="32" t="str">
        <x:f>IF(I7="Inconclusive","Inconclusive",IF(AND(OR(R7="User",R7="Mixed"),J7&lt;&gt;""),IF(R7="Mixed","Mixed Reply","Verified User Reply"),"No Verified User Reply"))</x:f>
        <x:v>No Verified User Reply</x:v>
      </x:c>
      <x:c r="U7" s="32" t="str">
        <x:v>BATCH-VERIFY-30M</x:v>
      </x:c>
      <x:c r="V7" s="32" t="str">
        <x:f>D7&amp;"|"&amp;S7</x:f>
        <x:v>IC-0002|30m</x:v>
      </x:c>
      <x:c r="W7" s="32" t="str">
        <x:f>I7</x:f>
        <x:v>Visible</x:v>
      </x:c>
      <x:c r="X7" s="32" t="str">
        <x:f>R7</x:f>
        <x:v>None</x:v>
      </x:c>
      <x:c r="Y7" s="33" t="str">
        <x:f>T7</x:f>
        <x:v>No Verified User Reply</x:v>
      </x:c>
    </x:row>
    <x:row r="8">
      <x:c r="A8" s="49" t="n">
        <x:v>46225</x:v>
      </x:c>
      <x:c r="B8" s="32" t="str">
        <x:v>12:00</x:v>
      </x:c>
      <x:c r="C8" s="52" t="n">
        <x:v>46224</x:v>
      </x:c>
      <x:c r="D8" s="32" t="str">
        <x:v>IC-0002</x:v>
      </x:c>
      <x:c r="E8" s="32" t="str">
        <x:v>Account Slot 2</x:v>
      </x:c>
      <x:c r="F8" s="32" t="str">
        <x:v>https://video.invalid/case/V0002</x:v>
      </x:c>
      <x:c r="G8" s="32" t="str">
        <x:v>creator_case_002</x:v>
      </x:c>
      <x:c r="H8" s="32" t="str">
        <x:v>Pending</x:v>
      </x:c>
      <x:c r="I8" s="32" t="str">
        <x:v>Visible</x:v>
      </x:c>
      <x:c r="J8" s="32" t="str">
        <x:v>EVD-SYN-0002-24H</x:v>
      </x:c>
      <x:c r="K8" s="32" t="str">
        <x:v>24h verification</x:v>
      </x:c>
      <x:c r="L8" s="32" t="str">
        <x:v>None</x:v>
      </x:c>
      <x:c r="M8" s="32" t="str">
        <x:v>Pass</x:v>
      </x:c>
      <x:c r="N8" s="32" t="str">
        <x:v>ชอบการแมตช์สูทที่ดูสุภาพแต่ยังมีความแฟชั่นอยู่ค่ะ ลุคนี้ลองเพิ่มตัวครอบกระดุมโทนมุกกับ blazer แบบในรูป น่าจะดูแพงขึ้นพอดี</x:v>
      </x:c>
      <x:c r="O8" s="32" t="str">
        <x:v>ชอบการแมตช์สูทที่ดูสุภาพแต่ยังมีความแฟชั่นอยู่ค่ะ ลุคนี้ลองเพิ่มตัวครอบกระดุมโทนมุกกับ blazer แบบในรูป น่าจะดูแพงขึ้นพอดี</x:v>
      </x:c>
      <x:c r="P8" s="32" t="n">
        <x:v>0</x:v>
      </x:c>
      <x:c r="Q8" s="32" t="str"/>
      <x:c r="R8" s="32" t="str">
        <x:v>None</x:v>
      </x:c>
      <x:c r="S8" s="32" t="str">
        <x:v>24h</x:v>
      </x:c>
      <x:c r="T8" s="32" t="str">
        <x:f>IF(I8="Inconclusive","Inconclusive",IF(AND(OR(R8="User",R8="Mixed"),J8&lt;&gt;""),IF(R8="Mixed","Mixed Reply","Verified User Reply"),"No Verified User Reply"))</x:f>
        <x:v>No Verified User Reply</x:v>
      </x:c>
      <x:c r="U8" s="32" t="str">
        <x:v>BATCH-VERIFY-24H</x:v>
      </x:c>
      <x:c r="V8" s="32" t="str">
        <x:f>D8&amp;"|"&amp;S8</x:f>
        <x:v>IC-0002|24h</x:v>
      </x:c>
      <x:c r="W8" s="32" t="str">
        <x:f>I8</x:f>
        <x:v>Visible</x:v>
      </x:c>
      <x:c r="X8" s="32" t="str">
        <x:f>R8</x:f>
        <x:v>None</x:v>
      </x:c>
      <x:c r="Y8" s="33" t="str">
        <x:f>T8</x:f>
        <x:v>No Verified User Reply</x:v>
      </x:c>
    </x:row>
    <x:row r="9">
      <x:c r="A9" s="49" t="n">
        <x:v>46224</x:v>
      </x:c>
      <x:c r="B9" s="32" t="str">
        <x:v>12:30</x:v>
      </x:c>
      <x:c r="C9" s="52" t="n">
        <x:v>46224</x:v>
      </x:c>
      <x:c r="D9" s="32" t="str">
        <x:v>IC-0003</x:v>
      </x:c>
      <x:c r="E9" s="32" t="str">
        <x:v>Account Slot 3</x:v>
      </x:c>
      <x:c r="F9" s="32" t="str">
        <x:v>https://video.invalid/case/V0003</x:v>
      </x:c>
      <x:c r="G9" s="32" t="str">
        <x:v>creator_case_003</x:v>
      </x:c>
      <x:c r="H9" s="32" t="str">
        <x:v>Pending</x:v>
      </x:c>
      <x:c r="I9" s="32" t="str">
        <x:v>Visible</x:v>
      </x:c>
      <x:c r="J9" s="32" t="str">
        <x:v>EVD-SYN-0003-30M</x:v>
      </x:c>
      <x:c r="K9" s="32" t="str">
        <x:v>30m verification</x:v>
      </x:c>
      <x:c r="L9" s="32" t="str">
        <x:v>None</x:v>
      </x:c>
      <x:c r="M9" s="32" t="str">
        <x:v>Pass</x:v>
      </x:c>
      <x:c r="N9" s="32" t="str">
        <x:v>ชอบแนวเสื้อที่ดูเป็นระเบียบและไม่ทำให้ลุคแข็งเกินไป ดีเทลคอเสื้อกับปลายแขนแบบในรูปช่วยเปลี่ยนเสื้อตัวเดิมให้ดูพิเศษขึ้นพอดี</x:v>
      </x:c>
      <x:c r="O9" s="32" t="str">
        <x:v>ชอบแนวเสื้อที่ดูเป็นระเบียบและไม่ทำให้ลุคแข็งเกินไป ดีเทลคอเสื้อกับปลายแขนแบบในรูปช่วยเปลี่ยนเสื้อตัวเดิมให้ดูพิเศษขึ้นพอดี</x:v>
      </x:c>
      <x:c r="P9" s="32" t="n">
        <x:v>0</x:v>
      </x:c>
      <x:c r="Q9" s="32" t="str"/>
      <x:c r="R9" s="32" t="str">
        <x:v>None</x:v>
      </x:c>
      <x:c r="S9" s="32" t="str">
        <x:v>30m</x:v>
      </x:c>
      <x:c r="T9" s="32" t="str">
        <x:f>IF(I9="Inconclusive","Inconclusive",IF(AND(OR(R9="User",R9="Mixed"),J9&lt;&gt;""),IF(R9="Mixed","Mixed Reply","Verified User Reply"),"No Verified User Reply"))</x:f>
        <x:v>No Verified User Reply</x:v>
      </x:c>
      <x:c r="U9" s="32" t="str">
        <x:v>BATCH-VERIFY-30M</x:v>
      </x:c>
      <x:c r="V9" s="32" t="str">
        <x:f>D9&amp;"|"&amp;S9</x:f>
        <x:v>IC-0003|30m</x:v>
      </x:c>
      <x:c r="W9" s="32" t="str">
        <x:f>I9</x:f>
        <x:v>Visible</x:v>
      </x:c>
      <x:c r="X9" s="32" t="str">
        <x:f>R9</x:f>
        <x:v>None</x:v>
      </x:c>
      <x:c r="Y9" s="33" t="str">
        <x:f>T9</x:f>
        <x:v>No Verified User Reply</x:v>
      </x:c>
    </x:row>
    <x:row r="10">
      <x:c r="A10" s="49" t="n">
        <x:v>46225</x:v>
      </x:c>
      <x:c r="B10" s="32" t="str">
        <x:v>12:00</x:v>
      </x:c>
      <x:c r="C10" s="52" t="n">
        <x:v>46224</x:v>
      </x:c>
      <x:c r="D10" s="32" t="str">
        <x:v>IC-0003</x:v>
      </x:c>
      <x:c r="E10" s="32" t="str">
        <x:v>Account Slot 3</x:v>
      </x:c>
      <x:c r="F10" s="32" t="str">
        <x:v>https://video.invalid/case/V0003</x:v>
      </x:c>
      <x:c r="G10" s="32" t="str">
        <x:v>creator_case_003</x:v>
      </x:c>
      <x:c r="H10" s="32" t="str">
        <x:v>Pending</x:v>
      </x:c>
      <x:c r="I10" s="32" t="str">
        <x:v>Visible</x:v>
      </x:c>
      <x:c r="J10" s="32" t="str">
        <x:v>EVD-SYN-0003-24H</x:v>
      </x:c>
      <x:c r="K10" s="32" t="str">
        <x:v>24h verification</x:v>
      </x:c>
      <x:c r="L10" s="32" t="str">
        <x:v>None</x:v>
      </x:c>
      <x:c r="M10" s="32" t="str">
        <x:v>Pass</x:v>
      </x:c>
      <x:c r="N10" s="32" t="str">
        <x:v>ชอบแนวเสื้อที่ดูเป็นระเบียบและไม่ทำให้ลุคแข็งเกินไป ดีเทลคอเสื้อกับปลายแขนแบบในรูปช่วยเปลี่ยนเสื้อตัวเดิมให้ดูพิเศษขึ้นพอดี</x:v>
      </x:c>
      <x:c r="O10" s="32" t="str">
        <x:v>ชอบแนวเสื้อที่ดูเป็นระเบียบและไม่ทำให้ลุคแข็งเกินไป ดีเทลคอเสื้อกับปลายแขนแบบในรูปช่วยเปลี่ยนเสื้อตัวเดิมให้ดูพิเศษขึ้นพอดี</x:v>
      </x:c>
      <x:c r="P10" s="32" t="n">
        <x:v>0</x:v>
      </x:c>
      <x:c r="Q10" s="32" t="str"/>
      <x:c r="R10" s="32" t="str">
        <x:v>None</x:v>
      </x:c>
      <x:c r="S10" s="32" t="str">
        <x:v>24h</x:v>
      </x:c>
      <x:c r="T10" s="32" t="str">
        <x:f>IF(I10="Inconclusive","Inconclusive",IF(AND(OR(R10="User",R10="Mixed"),J10&lt;&gt;""),IF(R10="Mixed","Mixed Reply","Verified User Reply"),"No Verified User Reply"))</x:f>
        <x:v>No Verified User Reply</x:v>
      </x:c>
      <x:c r="U10" s="32" t="str">
        <x:v>BATCH-VERIFY-24H</x:v>
      </x:c>
      <x:c r="V10" s="32" t="str">
        <x:f>D10&amp;"|"&amp;S10</x:f>
        <x:v>IC-0003|24h</x:v>
      </x:c>
      <x:c r="W10" s="32" t="str">
        <x:f>I10</x:f>
        <x:v>Visible</x:v>
      </x:c>
      <x:c r="X10" s="32" t="str">
        <x:f>R10</x:f>
        <x:v>None</x:v>
      </x:c>
      <x:c r="Y10" s="33" t="str">
        <x:f>T10</x:f>
        <x:v>No Verified User Reply</x:v>
      </x:c>
    </x:row>
    <x:row r="11">
      <x:c r="A11" s="49" t="n">
        <x:v>46224</x:v>
      </x:c>
      <x:c r="B11" s="32" t="str">
        <x:v>12:30</x:v>
      </x:c>
      <x:c r="C11" s="52" t="n">
        <x:v>46224</x:v>
      </x:c>
      <x:c r="D11" s="32" t="str">
        <x:v>IC-0004</x:v>
      </x:c>
      <x:c r="E11" s="32" t="str">
        <x:v>Account Slot 4</x:v>
      </x:c>
      <x:c r="F11" s="32" t="str">
        <x:v>https://video.invalid/case/V0004</x:v>
      </x:c>
      <x:c r="G11" s="32" t="str">
        <x:v>creator_case_004</x:v>
      </x:c>
      <x:c r="H11" s="32" t="str">
        <x:v>Pending</x:v>
      </x:c>
      <x:c r="I11" s="32" t="str">
        <x:v>Visible</x:v>
      </x:c>
      <x:c r="J11" s="32" t="str">
        <x:v>EVD-SYN-0004-30M</x:v>
      </x:c>
      <x:c r="K11" s="32" t="str">
        <x:v>30m verification</x:v>
      </x:c>
      <x:c r="L11" s="32" t="str">
        <x:v>None</x:v>
      </x:c>
      <x:c r="M11" s="32" t="str">
        <x:v>Pass</x:v>
      </x:c>
      <x:c r="N11" s="32" t="str">
        <x:v>คาดิแกนตัวนี้ดูแมตช์ง่ายและใช้ได้หลายมู้ดมาก ถ้าอยากเปลี่ยนฟีลเสื้อตัวเดิม ลองเติมตัวครอบกระดุมตรงคอหรือปลายแขนแบบในรูปดูค่ะ</x:v>
      </x:c>
      <x:c r="O11" s="32" t="str">
        <x:v>คาดิแกนตัวนี้ดูแมตช์ง่ายและใช้ได้หลายมู้ดมาก ถ้าอยากเปลี่ยนฟีลเสื้อตัวเดิม ลองเติมตัวครอบกระดุมตรงคอหรือปลายแขนแบบในรูปดูค่ะ</x:v>
      </x:c>
      <x:c r="P11" s="32" t="n">
        <x:v>0</x:v>
      </x:c>
      <x:c r="Q11" s="32" t="str"/>
      <x:c r="R11" s="32" t="str">
        <x:v>None</x:v>
      </x:c>
      <x:c r="S11" s="32" t="str">
        <x:v>30m</x:v>
      </x:c>
      <x:c r="T11" s="32" t="str">
        <x:f>IF(I11="Inconclusive","Inconclusive",IF(AND(OR(R11="User",R11="Mixed"),J11&lt;&gt;""),IF(R11="Mixed","Mixed Reply","Verified User Reply"),"No Verified User Reply"))</x:f>
        <x:v>No Verified User Reply</x:v>
      </x:c>
      <x:c r="U11" s="32" t="str">
        <x:v>BATCH-VERIFY-30M</x:v>
      </x:c>
      <x:c r="V11" s="32" t="str">
        <x:f>D11&amp;"|"&amp;S11</x:f>
        <x:v>IC-0004|30m</x:v>
      </x:c>
      <x:c r="W11" s="32" t="str">
        <x:f>I11</x:f>
        <x:v>Visible</x:v>
      </x:c>
      <x:c r="X11" s="32" t="str">
        <x:f>R11</x:f>
        <x:v>None</x:v>
      </x:c>
      <x:c r="Y11" s="33" t="str">
        <x:f>T11</x:f>
        <x:v>No Verified User Reply</x:v>
      </x:c>
    </x:row>
    <x:row r="12">
      <x:c r="A12" s="49" t="n">
        <x:v>46225</x:v>
      </x:c>
      <x:c r="B12" s="32" t="str">
        <x:v>12:00</x:v>
      </x:c>
      <x:c r="C12" s="52" t="n">
        <x:v>46224</x:v>
      </x:c>
      <x:c r="D12" s="32" t="str">
        <x:v>IC-0004</x:v>
      </x:c>
      <x:c r="E12" s="32" t="str">
        <x:v>Account Slot 4</x:v>
      </x:c>
      <x:c r="F12" s="32" t="str">
        <x:v>https://video.invalid/case/V0004</x:v>
      </x:c>
      <x:c r="G12" s="32" t="str">
        <x:v>creator_case_004</x:v>
      </x:c>
      <x:c r="H12" s="32" t="str">
        <x:v>Pending</x:v>
      </x:c>
      <x:c r="I12" s="32" t="str">
        <x:v>Visible</x:v>
      </x:c>
      <x:c r="J12" s="32" t="str">
        <x:v>EVD-SYN-0004-24H</x:v>
      </x:c>
      <x:c r="K12" s="32" t="str">
        <x:v>24h verification</x:v>
      </x:c>
      <x:c r="L12" s="32" t="str">
        <x:v>None</x:v>
      </x:c>
      <x:c r="M12" s="32" t="str">
        <x:v>Pass</x:v>
      </x:c>
      <x:c r="N12" s="32" t="str">
        <x:v>คาดิแกนตัวนี้ดูแมตช์ง่ายและใช้ได้หลายมู้ดมาก ถ้าอยากเปลี่ยนฟีลเสื้อตัวเดิม ลองเติมตัวครอบกระดุมตรงคอหรือปลายแขนแบบในรูปดูค่ะ</x:v>
      </x:c>
      <x:c r="O12" s="32" t="str">
        <x:v>คาดิแกนตัวนี้ดูแมตช์ง่ายและใช้ได้หลายมู้ดมาก ถ้าอยากเปลี่ยนฟีลเสื้อตัวเดิม ลองเติมตัวครอบกระดุมตรงคอหรือปลายแขนแบบในรูปดูค่ะ</x:v>
      </x:c>
      <x:c r="P12" s="32" t="n">
        <x:v>0</x:v>
      </x:c>
      <x:c r="Q12" s="32" t="str"/>
      <x:c r="R12" s="32" t="str">
        <x:v>None</x:v>
      </x:c>
      <x:c r="S12" s="32" t="str">
        <x:v>24h</x:v>
      </x:c>
      <x:c r="T12" s="32" t="str">
        <x:f>IF(I12="Inconclusive","Inconclusive",IF(AND(OR(R12="User",R12="Mixed"),J12&lt;&gt;""),IF(R12="Mixed","Mixed Reply","Verified User Reply"),"No Verified User Reply"))</x:f>
        <x:v>No Verified User Reply</x:v>
      </x:c>
      <x:c r="U12" s="32" t="str">
        <x:v>BATCH-VERIFY-24H</x:v>
      </x:c>
      <x:c r="V12" s="32" t="str">
        <x:f>D12&amp;"|"&amp;S12</x:f>
        <x:v>IC-0004|24h</x:v>
      </x:c>
      <x:c r="W12" s="32" t="str">
        <x:f>I12</x:f>
        <x:v>Visible</x:v>
      </x:c>
      <x:c r="X12" s="32" t="str">
        <x:f>R12</x:f>
        <x:v>None</x:v>
      </x:c>
      <x:c r="Y12" s="33" t="str">
        <x:f>T12</x:f>
        <x:v>No Verified User Reply</x:v>
      </x:c>
    </x:row>
    <x:row r="13">
      <x:c r="A13" s="49" t="n">
        <x:v>46224</x:v>
      </x:c>
      <x:c r="B13" s="32" t="str">
        <x:v>12:30</x:v>
      </x:c>
      <x:c r="C13" s="52" t="n">
        <x:v>46224</x:v>
      </x:c>
      <x:c r="D13" s="32" t="str">
        <x:v>IC-0005</x:v>
      </x:c>
      <x:c r="E13" s="32" t="str">
        <x:v>Account Slot 5</x:v>
      </x:c>
      <x:c r="F13" s="32" t="str">
        <x:v>https://video.invalid/case/V0005</x:v>
      </x:c>
      <x:c r="G13" s="32" t="str">
        <x:v>creator_case_005</x:v>
      </x:c>
      <x:c r="H13" s="32" t="str">
        <x:v>Pending</x:v>
      </x:c>
      <x:c r="I13" s="32" t="str">
        <x:v>Visible</x:v>
      </x:c>
      <x:c r="J13" s="32" t="str">
        <x:v>EVD-SYN-0005-30M</x:v>
      </x:c>
      <x:c r="K13" s="32" t="str">
        <x:v>30m verification</x:v>
      </x:c>
      <x:c r="L13" s="32" t="str">
        <x:v>None</x:v>
      </x:c>
      <x:c r="M13" s="32" t="str">
        <x:v>Pass</x:v>
      </x:c>
      <x:c r="N13" s="32" t="str">
        <x:v>เป็นไอเดียแต่งตัวประจำวันที่ดูดีแบบไม่ต้องคิดเยอะค่ะ พอมีตัวครอบกระดุมชิ้นเล็กแบบในรูป ช่วงคอกับข้อมือก็ดูตั้งใจขึ้นทันที</x:v>
      </x:c>
      <x:c r="O13" s="32" t="str">
        <x:v>เป็นไอเดียแต่งตัวประจำวันที่ดูดีแบบไม่ต้องคิดเยอะค่ะ พอมีตัวครอบกระดุมชิ้นเล็กแบบในรูป ช่วงคอกับข้อมือก็ดูตั้งใจขึ้นทันที</x:v>
      </x:c>
      <x:c r="P13" s="32" t="n">
        <x:v>0</x:v>
      </x:c>
      <x:c r="Q13" s="32" t="str"/>
      <x:c r="R13" s="32" t="str">
        <x:v>None</x:v>
      </x:c>
      <x:c r="S13" s="32" t="str">
        <x:v>30m</x:v>
      </x:c>
      <x:c r="T13" s="32" t="str">
        <x:f>IF(I13="Inconclusive","Inconclusive",IF(AND(OR(R13="User",R13="Mixed"),J13&lt;&gt;""),IF(R13="Mixed","Mixed Reply","Verified User Reply"),"No Verified User Reply"))</x:f>
        <x:v>No Verified User Reply</x:v>
      </x:c>
      <x:c r="U13" s="32" t="str">
        <x:v>BATCH-VERIFY-30M</x:v>
      </x:c>
      <x:c r="V13" s="32" t="str">
        <x:f>D13&amp;"|"&amp;S13</x:f>
        <x:v>IC-0005|30m</x:v>
      </x:c>
      <x:c r="W13" s="32" t="str">
        <x:f>I13</x:f>
        <x:v>Visible</x:v>
      </x:c>
      <x:c r="X13" s="32" t="str">
        <x:f>R13</x:f>
        <x:v>None</x:v>
      </x:c>
      <x:c r="Y13" s="33" t="str">
        <x:f>T13</x:f>
        <x:v>No Verified User Reply</x:v>
      </x:c>
    </x:row>
    <x:row r="14">
      <x:c r="A14" s="49" t="n">
        <x:v>46225</x:v>
      </x:c>
      <x:c r="B14" s="32" t="str">
        <x:v>12:00</x:v>
      </x:c>
      <x:c r="C14" s="52" t="n">
        <x:v>46224</x:v>
      </x:c>
      <x:c r="D14" s="32" t="str">
        <x:v>IC-0005</x:v>
      </x:c>
      <x:c r="E14" s="32" t="str">
        <x:v>Account Slot 5</x:v>
      </x:c>
      <x:c r="F14" s="32" t="str">
        <x:v>https://video.invalid/case/V0005</x:v>
      </x:c>
      <x:c r="G14" s="32" t="str">
        <x:v>creator_case_005</x:v>
      </x:c>
      <x:c r="H14" s="32" t="str">
        <x:v>Pending</x:v>
      </x:c>
      <x:c r="I14" s="32" t="str">
        <x:v>Visible</x:v>
      </x:c>
      <x:c r="J14" s="32" t="str">
        <x:v>EVD-SYN-0005-24H</x:v>
      </x:c>
      <x:c r="K14" s="32" t="str">
        <x:v>24h verification</x:v>
      </x:c>
      <x:c r="L14" s="32" t="str">
        <x:v>None</x:v>
      </x:c>
      <x:c r="M14" s="32" t="str">
        <x:v>Pass</x:v>
      </x:c>
      <x:c r="N14" s="32" t="str">
        <x:v>เป็นไอเดียแต่งตัวประจำวันที่ดูดีแบบไม่ต้องคิดเยอะค่ะ พอมีตัวครอบกระดุมชิ้นเล็กแบบในรูป ช่วงคอกับข้อมือก็ดูตั้งใจขึ้นทันที</x:v>
      </x:c>
      <x:c r="O14" s="32" t="str">
        <x:v>เป็นไอเดียแต่งตัวประจำวันที่ดูดีแบบไม่ต้องคิดเยอะค่ะ พอมีตัวครอบกระดุมชิ้นเล็กแบบในรูป ช่วงคอกับข้อมือก็ดูตั้งใจขึ้นทันที</x:v>
      </x:c>
      <x:c r="P14" s="32" t="n">
        <x:v>0</x:v>
      </x:c>
      <x:c r="Q14" s="32" t="str"/>
      <x:c r="R14" s="32" t="str">
        <x:v>None</x:v>
      </x:c>
      <x:c r="S14" s="32" t="str">
        <x:v>24h</x:v>
      </x:c>
      <x:c r="T14" s="32" t="str">
        <x:f>IF(I14="Inconclusive","Inconclusive",IF(AND(OR(R14="User",R14="Mixed"),J14&lt;&gt;""),IF(R14="Mixed","Mixed Reply","Verified User Reply"),"No Verified User Reply"))</x:f>
        <x:v>No Verified User Reply</x:v>
      </x:c>
      <x:c r="U14" s="32" t="str">
        <x:v>BATCH-VERIFY-24H</x:v>
      </x:c>
      <x:c r="V14" s="32" t="str">
        <x:f>D14&amp;"|"&amp;S14</x:f>
        <x:v>IC-0005|24h</x:v>
      </x:c>
      <x:c r="W14" s="32" t="str">
        <x:f>I14</x:f>
        <x:v>Visible</x:v>
      </x:c>
      <x:c r="X14" s="32" t="str">
        <x:f>R14</x:f>
        <x:v>None</x:v>
      </x:c>
      <x:c r="Y14" s="33" t="str">
        <x:f>T14</x:f>
        <x:v>No Verified User Reply</x:v>
      </x:c>
    </x:row>
    <x:row r="15">
      <x:c r="A15" s="49" t="n">
        <x:v>46224</x:v>
      </x:c>
      <x:c r="B15" s="32" t="str">
        <x:v>12:30</x:v>
      </x:c>
      <x:c r="C15" s="52" t="n">
        <x:v>46224</x:v>
      </x:c>
      <x:c r="D15" s="32" t="str">
        <x:v>IC-0006</x:v>
      </x:c>
      <x:c r="E15" s="32" t="str">
        <x:v>Account Slot 6</x:v>
      </x:c>
      <x:c r="F15" s="32" t="str">
        <x:v>https://video.invalid/case/V0006</x:v>
      </x:c>
      <x:c r="G15" s="32" t="str">
        <x:v>creator_case_006</x:v>
      </x:c>
      <x:c r="H15" s="32" t="str">
        <x:v>Pending</x:v>
      </x:c>
      <x:c r="I15" s="32" t="str">
        <x:v>Visible</x:v>
      </x:c>
      <x:c r="J15" s="32" t="str">
        <x:v>EVD-SYN-0006-30M</x:v>
      </x:c>
      <x:c r="K15" s="32" t="str">
        <x:v>30m verification</x:v>
      </x:c>
      <x:c r="L15" s="32" t="str">
        <x:v>None</x:v>
      </x:c>
      <x:c r="M15" s="32" t="str">
        <x:v>Pass</x:v>
      </x:c>
      <x:c r="N15" s="32" t="str">
        <x:v>คาดิแกนตัวนี้ดูแมตช์ง่ายและใช้ได้หลายมู้ดมาก ถ้าเติมจุดเล็กตรงแนวกระดุมแบบในรูป เสื้อพื้นฐานน่าจะได้อีกมู้ดที่ดูตั้งใจขึ้น</x:v>
      </x:c>
      <x:c r="O15" s="32" t="str">
        <x:v>คาดิแกนตัวนี้ดูแมตช์ง่ายและใช้ได้หลายมู้ดมาก ถ้าเติมจุดเล็กตรงแนวกระดุมแบบในรูป เสื้อพื้นฐานน่าจะได้อีกมู้ดที่ดูตั้งใจขึ้น</x:v>
      </x:c>
      <x:c r="P15" s="32" t="n">
        <x:v>0</x:v>
      </x:c>
      <x:c r="Q15" s="32" t="str"/>
      <x:c r="R15" s="32" t="str">
        <x:v>None</x:v>
      </x:c>
      <x:c r="S15" s="32" t="str">
        <x:v>30m</x:v>
      </x:c>
      <x:c r="T15" s="32" t="str">
        <x:f>IF(I15="Inconclusive","Inconclusive",IF(AND(OR(R15="User",R15="Mixed"),J15&lt;&gt;""),IF(R15="Mixed","Mixed Reply","Verified User Reply"),"No Verified User Reply"))</x:f>
        <x:v>No Verified User Reply</x:v>
      </x:c>
      <x:c r="U15" s="32" t="str">
        <x:v>BATCH-VERIFY-30M</x:v>
      </x:c>
      <x:c r="V15" s="32" t="str">
        <x:f>D15&amp;"|"&amp;S15</x:f>
        <x:v>IC-0006|30m</x:v>
      </x:c>
      <x:c r="W15" s="32" t="str">
        <x:f>I15</x:f>
        <x:v>Visible</x:v>
      </x:c>
      <x:c r="X15" s="32" t="str">
        <x:f>R15</x:f>
        <x:v>None</x:v>
      </x:c>
      <x:c r="Y15" s="33" t="str">
        <x:f>T15</x:f>
        <x:v>No Verified User Reply</x:v>
      </x:c>
    </x:row>
    <x:row r="16">
      <x:c r="A16" s="49" t="n">
        <x:v>46225</x:v>
      </x:c>
      <x:c r="B16" s="32" t="str">
        <x:v>12:00</x:v>
      </x:c>
      <x:c r="C16" s="52" t="n">
        <x:v>46224</x:v>
      </x:c>
      <x:c r="D16" s="32" t="str">
        <x:v>IC-0006</x:v>
      </x:c>
      <x:c r="E16" s="32" t="str">
        <x:v>Account Slot 6</x:v>
      </x:c>
      <x:c r="F16" s="32" t="str">
        <x:v>https://video.invalid/case/V0006</x:v>
      </x:c>
      <x:c r="G16" s="32" t="str">
        <x:v>creator_case_006</x:v>
      </x:c>
      <x:c r="H16" s="32" t="str">
        <x:v>Pending</x:v>
      </x:c>
      <x:c r="I16" s="32" t="str">
        <x:v>Missing</x:v>
      </x:c>
      <x:c r="J16" s="32" t="str">
        <x:v>EVD-SYN-0006-24H</x:v>
      </x:c>
      <x:c r="K16" s="32" t="str">
        <x:v>24h verification</x:v>
      </x:c>
      <x:c r="L16" s="32" t="str">
        <x:v>None</x:v>
      </x:c>
      <x:c r="M16" s="32" t="str">
        <x:v>Pass</x:v>
      </x:c>
      <x:c r="N16" s="32" t="str">
        <x:v>คาดิแกนตัวนี้ดูแมตช์ง่ายและใช้ได้หลายมู้ดมาก ถ้าเติมจุดเล็กตรงแนวกระดุมแบบในรูป เสื้อพื้นฐานน่าจะได้อีกมู้ดที่ดูตั้งใจขึ้น</x:v>
      </x:c>
      <x:c r="O16" s="32"/>
      <x:c r="P16" s="32" t="n">
        <x:v>0</x:v>
      </x:c>
      <x:c r="Q16" s="32" t="str"/>
      <x:c r="R16" s="32" t="str">
        <x:v>None</x:v>
      </x:c>
      <x:c r="S16" s="32" t="str">
        <x:v>24h</x:v>
      </x:c>
      <x:c r="T16" s="32" t="str">
        <x:f>IF(I16="Inconclusive","Inconclusive",IF(AND(OR(R16="User",R16="Mixed"),J16&lt;&gt;""),IF(R16="Mixed","Mixed Reply","Verified User Reply"),"No Verified User Reply"))</x:f>
        <x:v>No Verified User Reply</x:v>
      </x:c>
      <x:c r="U16" s="32" t="str">
        <x:v>BATCH-VERIFY-24H</x:v>
      </x:c>
      <x:c r="V16" s="32" t="str">
        <x:f>D16&amp;"|"&amp;S16</x:f>
        <x:v>IC-0006|24h</x:v>
      </x:c>
      <x:c r="W16" s="32" t="str">
        <x:f>I16</x:f>
        <x:v>Missing</x:v>
      </x:c>
      <x:c r="X16" s="32" t="str">
        <x:f>R16</x:f>
        <x:v>None</x:v>
      </x:c>
      <x:c r="Y16" s="33" t="str">
        <x:f>T16</x:f>
        <x:v>No Verified User Reply</x:v>
      </x:c>
    </x:row>
    <x:row r="17">
      <x:c r="A17" s="49" t="n">
        <x:v>46224</x:v>
      </x:c>
      <x:c r="B17" s="32" t="str">
        <x:v>12:30</x:v>
      </x:c>
      <x:c r="C17" s="52" t="n">
        <x:v>46224</x:v>
      </x:c>
      <x:c r="D17" s="32" t="str">
        <x:v>IC-0007</x:v>
      </x:c>
      <x:c r="E17" s="32" t="str">
        <x:v>Account Slot 7</x:v>
      </x:c>
      <x:c r="F17" s="32" t="str">
        <x:v>https://video.invalid/case/V0007</x:v>
      </x:c>
      <x:c r="G17" s="32" t="str">
        <x:v>creator_case_007</x:v>
      </x:c>
      <x:c r="H17" s="32" t="str">
        <x:v>Pending</x:v>
      </x:c>
      <x:c r="I17" s="32" t="str">
        <x:v>Visible</x:v>
      </x:c>
      <x:c r="J17" s="32" t="str">
        <x:v>EVD-SYN-0007-30M</x:v>
      </x:c>
      <x:c r="K17" s="32" t="str">
        <x:v>30m verification</x:v>
      </x:c>
      <x:c r="L17" s="32" t="str">
        <x:v>None</x:v>
      </x:c>
      <x:c r="M17" s="32" t="str">
        <x:v>Pass</x:v>
      </x:c>
      <x:c r="N17" s="32" t="str">
        <x:v>เป็นไอเดียแต่งตัวประจำวันที่ดูดีแบบไม่ต้องคิดเยอะค่ะ ความวิบวับแบบเบา ๆ ในรูปทำให้เสื้อพื้นฐานดูมีคาแรกเตอร์โดยไม่ต้องใส่สร้อยเพิ่ม</x:v>
      </x:c>
      <x:c r="O17" s="32" t="str">
        <x:v>เป็นไอเดียแต่งตัวประจำวันที่ดูดีแบบไม่ต้องคิดเยอะค่ะ ความวิบวับแบบเบา ๆ ในรูปทำให้เสื้อพื้นฐานดูมีคาแรกเตอร์โดยไม่ต้องใส่สร้อยเพิ่ม</x:v>
      </x:c>
      <x:c r="P17" s="32" t="n">
        <x:v>0</x:v>
      </x:c>
      <x:c r="Q17" s="32" t="str"/>
      <x:c r="R17" s="32" t="str">
        <x:v>None</x:v>
      </x:c>
      <x:c r="S17" s="32" t="str">
        <x:v>30m</x:v>
      </x:c>
      <x:c r="T17" s="32" t="str">
        <x:f>IF(I17="Inconclusive","Inconclusive",IF(AND(OR(R17="User",R17="Mixed"),J17&lt;&gt;""),IF(R17="Mixed","Mixed Reply","Verified User Reply"),"No Verified User Reply"))</x:f>
        <x:v>No Verified User Reply</x:v>
      </x:c>
      <x:c r="U17" s="32" t="str">
        <x:v>BATCH-VERIFY-30M</x:v>
      </x:c>
      <x:c r="V17" s="32" t="str">
        <x:f>D17&amp;"|"&amp;S17</x:f>
        <x:v>IC-0007|30m</x:v>
      </x:c>
      <x:c r="W17" s="32" t="str">
        <x:f>I17</x:f>
        <x:v>Visible</x:v>
      </x:c>
      <x:c r="X17" s="32" t="str">
        <x:f>R17</x:f>
        <x:v>None</x:v>
      </x:c>
      <x:c r="Y17" s="33" t="str">
        <x:f>T17</x:f>
        <x:v>No Verified User Reply</x:v>
      </x:c>
    </x:row>
    <x:row r="18">
      <x:c r="A18" s="49" t="n">
        <x:v>46225</x:v>
      </x:c>
      <x:c r="B18" s="32" t="str">
        <x:v>12:00</x:v>
      </x:c>
      <x:c r="C18" s="52" t="n">
        <x:v>46224</x:v>
      </x:c>
      <x:c r="D18" s="32" t="str">
        <x:v>IC-0007</x:v>
      </x:c>
      <x:c r="E18" s="32" t="str">
        <x:v>Account Slot 7</x:v>
      </x:c>
      <x:c r="F18" s="32" t="str">
        <x:v>https://video.invalid/case/V0007</x:v>
      </x:c>
      <x:c r="G18" s="32" t="str">
        <x:v>creator_case_007</x:v>
      </x:c>
      <x:c r="H18" s="32" t="str">
        <x:v>Pending</x:v>
      </x:c>
      <x:c r="I18" s="32" t="str">
        <x:v>Visible</x:v>
      </x:c>
      <x:c r="J18" s="32" t="str">
        <x:v>EVD-SYN-0007-24H</x:v>
      </x:c>
      <x:c r="K18" s="32" t="str">
        <x:v>24h verification</x:v>
      </x:c>
      <x:c r="L18" s="32" t="str">
        <x:v>None</x:v>
      </x:c>
      <x:c r="M18" s="32" t="str">
        <x:v>Pass</x:v>
      </x:c>
      <x:c r="N18" s="32" t="str">
        <x:v>เป็นไอเดียแต่งตัวประจำวันที่ดูดีแบบไม่ต้องคิดเยอะค่ะ ความวิบวับแบบเบา ๆ ในรูปทำให้เสื้อพื้นฐานดูมีคาแรกเตอร์โดยไม่ต้องใส่สร้อยเพิ่ม</x:v>
      </x:c>
      <x:c r="O18" s="32" t="str">
        <x:v>เป็นไอเดียแต่งตัวประจำวันที่ดูดีแบบไม่ต้องคิดเยอะค่ะ ความวิบวับแบบเบา ๆ ในรูปทำให้เสื้อพื้นฐานดูมีคาแรกเตอร์โดยไม่ต้องใส่สร้อยเพิ่ม</x:v>
      </x:c>
      <x:c r="P18" s="32" t="n">
        <x:v>0</x:v>
      </x:c>
      <x:c r="Q18" s="32" t="str"/>
      <x:c r="R18" s="32" t="str">
        <x:v>None</x:v>
      </x:c>
      <x:c r="S18" s="32" t="str">
        <x:v>24h</x:v>
      </x:c>
      <x:c r="T18" s="32" t="str">
        <x:f>IF(I18="Inconclusive","Inconclusive",IF(AND(OR(R18="User",R18="Mixed"),J18&lt;&gt;""),IF(R18="Mixed","Mixed Reply","Verified User Reply"),"No Verified User Reply"))</x:f>
        <x:v>No Verified User Reply</x:v>
      </x:c>
      <x:c r="U18" s="32" t="str">
        <x:v>BATCH-VERIFY-24H</x:v>
      </x:c>
      <x:c r="V18" s="32" t="str">
        <x:f>D18&amp;"|"&amp;S18</x:f>
        <x:v>IC-0007|24h</x:v>
      </x:c>
      <x:c r="W18" s="32" t="str">
        <x:f>I18</x:f>
        <x:v>Visible</x:v>
      </x:c>
      <x:c r="X18" s="32" t="str">
        <x:f>R18</x:f>
        <x:v>None</x:v>
      </x:c>
      <x:c r="Y18" s="33" t="str">
        <x:f>T18</x:f>
        <x:v>No Verified User Reply</x:v>
      </x:c>
    </x:row>
    <x:row r="19">
      <x:c r="A19" s="49" t="n">
        <x:v>46224</x:v>
      </x:c>
      <x:c r="B19" s="32" t="str">
        <x:v>12:30</x:v>
      </x:c>
      <x:c r="C19" s="52" t="n">
        <x:v>46224</x:v>
      </x:c>
      <x:c r="D19" s="32" t="str">
        <x:v>IC-0008</x:v>
      </x:c>
      <x:c r="E19" s="32" t="str">
        <x:v>Account Slot 8</x:v>
      </x:c>
      <x:c r="F19" s="32" t="str">
        <x:v>https://video.invalid/case/V0008</x:v>
      </x:c>
      <x:c r="G19" s="32" t="str">
        <x:v>creator_case_008</x:v>
      </x:c>
      <x:c r="H19" s="32" t="str">
        <x:v>Pending</x:v>
      </x:c>
      <x:c r="I19" s="32" t="str">
        <x:v>Visible</x:v>
      </x:c>
      <x:c r="J19" s="32" t="str">
        <x:v>EVD-SYN-0008-30M</x:v>
      </x:c>
      <x:c r="K19" s="32" t="str">
        <x:v>30m verification</x:v>
      </x:c>
      <x:c r="L19" s="32" t="str">
        <x:v>None</x:v>
      </x:c>
      <x:c r="M19" s="32" t="str">
        <x:v>Pass</x:v>
      </x:c>
      <x:c r="N19" s="32" t="str">
        <x:v>เบลเซอร์ลุคนี้ดูโปรและคุมโทนได้ดีมากค่ะ blazer ทรงนี้ถ้ามีจุดเด่นเล็กแบบในรูป น่าจะดูตั้งใจและจำง่ายขึ้นมากค่ะ</x:v>
      </x:c>
      <x:c r="O19" s="32" t="str">
        <x:v>เบลเซอร์ลุคนี้ดูโปรและคุมโทนได้ดีมากค่ะ blazer ทรงนี้ถ้ามีจุดเด่นเล็กแบบในรูป น่าจะดูตั้งใจและจำง่ายขึ้นมากค่ะ</x:v>
      </x:c>
      <x:c r="P19" s="32" t="n">
        <x:v>1</x:v>
      </x:c>
      <x:c r="Q19" s="32" t="str">
        <x:v>Synthetic reply preview</x:v>
      </x:c>
      <x:c r="R19" s="32" t="str">
        <x:v>User</x:v>
      </x:c>
      <x:c r="S19" s="32" t="str">
        <x:v>30m</x:v>
      </x:c>
      <x:c r="T19" s="32" t="str">
        <x:f>IF(I19="Inconclusive","Inconclusive",IF(AND(OR(R19="User",R19="Mixed"),J19&lt;&gt;""),IF(R19="Mixed","Mixed Reply","Verified User Reply"),"No Verified User Reply"))</x:f>
        <x:v>Verified User Reply</x:v>
      </x:c>
      <x:c r="U19" s="32" t="str">
        <x:v>BATCH-VERIFY-30M</x:v>
      </x:c>
      <x:c r="V19" s="32" t="str">
        <x:f>D19&amp;"|"&amp;S19</x:f>
        <x:v>IC-0008|30m</x:v>
      </x:c>
      <x:c r="W19" s="32" t="str">
        <x:f>I19</x:f>
        <x:v>Visible</x:v>
      </x:c>
      <x:c r="X19" s="32" t="str">
        <x:f>R19</x:f>
        <x:v>User</x:v>
      </x:c>
      <x:c r="Y19" s="33" t="str">
        <x:f>T19</x:f>
        <x:v>Verified User Reply</x:v>
      </x:c>
    </x:row>
    <x:row r="20">
      <x:c r="A20" s="49" t="n">
        <x:v>46225</x:v>
      </x:c>
      <x:c r="B20" s="32" t="str">
        <x:v>12:00</x:v>
      </x:c>
      <x:c r="C20" s="52" t="n">
        <x:v>46224</x:v>
      </x:c>
      <x:c r="D20" s="32" t="str">
        <x:v>IC-0008</x:v>
      </x:c>
      <x:c r="E20" s="32" t="str">
        <x:v>Account Slot 8</x:v>
      </x:c>
      <x:c r="F20" s="32" t="str">
        <x:v>https://video.invalid/case/V0008</x:v>
      </x:c>
      <x:c r="G20" s="32" t="str">
        <x:v>creator_case_008</x:v>
      </x:c>
      <x:c r="H20" s="32" t="str">
        <x:v>Pending</x:v>
      </x:c>
      <x:c r="I20" s="32" t="str">
        <x:v>Visible</x:v>
      </x:c>
      <x:c r="J20" s="32" t="str">
        <x:v>EVD-SYN-0008-24H</x:v>
      </x:c>
      <x:c r="K20" s="32" t="str">
        <x:v>24h verification</x:v>
      </x:c>
      <x:c r="L20" s="32" t="str">
        <x:v>None</x:v>
      </x:c>
      <x:c r="M20" s="32" t="str">
        <x:v>Pass</x:v>
      </x:c>
      <x:c r="N20" s="32" t="str">
        <x:v>เบลเซอร์ลุคนี้ดูโปรและคุมโทนได้ดีมากค่ะ blazer ทรงนี้ถ้ามีจุดเด่นเล็กแบบในรูป น่าจะดูตั้งใจและจำง่ายขึ้นมากค่ะ</x:v>
      </x:c>
      <x:c r="O20" s="32" t="str">
        <x:v>เบลเซอร์ลุคนี้ดูโปรและคุมโทนได้ดีมากค่ะ blazer ทรงนี้ถ้ามีจุดเด่นเล็กแบบในรูป น่าจะดูตั้งใจและจำง่ายขึ้นมากค่ะ</x:v>
      </x:c>
      <x:c r="P20" s="32" t="n">
        <x:v>1</x:v>
      </x:c>
      <x:c r="Q20" s="32" t="str">
        <x:v>Synthetic reply preview</x:v>
      </x:c>
      <x:c r="R20" s="32" t="str">
        <x:v>User</x:v>
      </x:c>
      <x:c r="S20" s="32" t="str">
        <x:v>24h</x:v>
      </x:c>
      <x:c r="T20" s="32" t="str">
        <x:f>IF(I20="Inconclusive","Inconclusive",IF(AND(OR(R20="User",R20="Mixed"),J20&lt;&gt;""),IF(R20="Mixed","Mixed Reply","Verified User Reply"),"No Verified User Reply"))</x:f>
        <x:v>Verified User Reply</x:v>
      </x:c>
      <x:c r="U20" s="32" t="str">
        <x:v>BATCH-VERIFY-24H</x:v>
      </x:c>
      <x:c r="V20" s="32" t="str">
        <x:f>D20&amp;"|"&amp;S20</x:f>
        <x:v>IC-0008|24h</x:v>
      </x:c>
      <x:c r="W20" s="32" t="str">
        <x:f>I20</x:f>
        <x:v>Visible</x:v>
      </x:c>
      <x:c r="X20" s="32" t="str">
        <x:f>R20</x:f>
        <x:v>User</x:v>
      </x:c>
      <x:c r="Y20" s="33" t="str">
        <x:f>T20</x:f>
        <x:v>Verified User Reply</x:v>
      </x:c>
    </x:row>
    <x:row r="21">
      <x:c r="A21" s="49" t="n">
        <x:v>46224</x:v>
      </x:c>
      <x:c r="B21" s="32" t="str">
        <x:v>12:30</x:v>
      </x:c>
      <x:c r="C21" s="52" t="n">
        <x:v>46224</x:v>
      </x:c>
      <x:c r="D21" s="32" t="str">
        <x:v>IC-0009</x:v>
      </x:c>
      <x:c r="E21" s="32" t="str">
        <x:v>Account Slot 9</x:v>
      </x:c>
      <x:c r="F21" s="32" t="str">
        <x:v>https://video.invalid/case/V0009</x:v>
      </x:c>
      <x:c r="G21" s="32" t="str">
        <x:v>creator_case_009</x:v>
      </x:c>
      <x:c r="H21" s="32" t="str">
        <x:v>Pending</x:v>
      </x:c>
      <x:c r="I21" s="32" t="str">
        <x:v>Visible</x:v>
      </x:c>
      <x:c r="J21" s="32" t="str">
        <x:v>EVD-SYN-0009-30M</x:v>
      </x:c>
      <x:c r="K21" s="32" t="str">
        <x:v>30m verification</x:v>
      </x:c>
      <x:c r="L21" s="32" t="str">
        <x:v>None</x:v>
      </x:c>
      <x:c r="M21" s="32" t="str">
        <x:v>Pass</x:v>
      </x:c>
      <x:c r="N21" s="32" t="str">
        <x:v>สูทลุคนี้เนี้ยบแต่ไม่ดูแข็งจนเกินไปค่ะ ดีเทลคอเสื้อกับปลายแขนแบบในรูปช่วยเปลี่ยนเสื้อตัวเดิมให้ดูพิเศษขึ้นพอดี</x:v>
      </x:c>
      <x:c r="O21" s="32" t="str">
        <x:v>สูทลุคนี้เนี้ยบแต่ไม่ดูแข็งจนเกินไปค่ะ ดีเทลคอเสื้อกับปลายแขนแบบในรูปช่วยเปลี่ยนเสื้อตัวเดิมให้ดูพิเศษขึ้นพอดี</x:v>
      </x:c>
      <x:c r="P21" s="32" t="n">
        <x:v>0</x:v>
      </x:c>
      <x:c r="Q21" s="32" t="str"/>
      <x:c r="R21" s="32" t="str">
        <x:v>None</x:v>
      </x:c>
      <x:c r="S21" s="32" t="str">
        <x:v>30m</x:v>
      </x:c>
      <x:c r="T21" s="32" t="str">
        <x:f>IF(I21="Inconclusive","Inconclusive",IF(AND(OR(R21="User",R21="Mixed"),J21&lt;&gt;""),IF(R21="Mixed","Mixed Reply","Verified User Reply"),"No Verified User Reply"))</x:f>
        <x:v>No Verified User Reply</x:v>
      </x:c>
      <x:c r="U21" s="32" t="str">
        <x:v>BATCH-VERIFY-30M</x:v>
      </x:c>
      <x:c r="V21" s="32" t="str">
        <x:f>D21&amp;"|"&amp;S21</x:f>
        <x:v>IC-0009|30m</x:v>
      </x:c>
      <x:c r="W21" s="32" t="str">
        <x:f>I21</x:f>
        <x:v>Visible</x:v>
      </x:c>
      <x:c r="X21" s="32" t="str">
        <x:f>R21</x:f>
        <x:v>None</x:v>
      </x:c>
      <x:c r="Y21" s="33" t="str">
        <x:f>T21</x:f>
        <x:v>No Verified User Reply</x:v>
      </x:c>
    </x:row>
    <x:row r="22">
      <x:c r="A22" s="49" t="n">
        <x:v>46225</x:v>
      </x:c>
      <x:c r="B22" s="32" t="str">
        <x:v>12:00</x:v>
      </x:c>
      <x:c r="C22" s="52" t="n">
        <x:v>46224</x:v>
      </x:c>
      <x:c r="D22" s="32" t="str">
        <x:v>IC-0009</x:v>
      </x:c>
      <x:c r="E22" s="32" t="str">
        <x:v>Account Slot 9</x:v>
      </x:c>
      <x:c r="F22" s="32" t="str">
        <x:v>https://video.invalid/case/V0009</x:v>
      </x:c>
      <x:c r="G22" s="32" t="str">
        <x:v>creator_case_009</x:v>
      </x:c>
      <x:c r="H22" s="32" t="str">
        <x:v>Pending</x:v>
      </x:c>
      <x:c r="I22" s="32" t="str">
        <x:v>Visible</x:v>
      </x:c>
      <x:c r="J22" s="32" t="str">
        <x:v>EVD-SYN-0009-24H</x:v>
      </x:c>
      <x:c r="K22" s="32" t="str">
        <x:v>24h verification</x:v>
      </x:c>
      <x:c r="L22" s="32" t="str">
        <x:v>None</x:v>
      </x:c>
      <x:c r="M22" s="32" t="str">
        <x:v>Pass</x:v>
      </x:c>
      <x:c r="N22" s="32" t="str">
        <x:v>สูทลุคนี้เนี้ยบแต่ไม่ดูแข็งจนเกินไปค่ะ ดีเทลคอเสื้อกับปลายแขนแบบในรูปช่วยเปลี่ยนเสื้อตัวเดิมให้ดูพิเศษขึ้นพอดี</x:v>
      </x:c>
      <x:c r="O22" s="32" t="str">
        <x:v>สูทลุคนี้เนี้ยบแต่ไม่ดูแข็งจนเกินไปค่ะ ดีเทลคอเสื้อกับปลายแขนแบบในรูปช่วยเปลี่ยนเสื้อตัวเดิมให้ดูพิเศษขึ้นพอดี</x:v>
      </x:c>
      <x:c r="P22" s="32" t="n">
        <x:v>0</x:v>
      </x:c>
      <x:c r="Q22" s="32" t="str"/>
      <x:c r="R22" s="32" t="str">
        <x:v>None</x:v>
      </x:c>
      <x:c r="S22" s="32" t="str">
        <x:v>24h</x:v>
      </x:c>
      <x:c r="T22" s="32" t="str">
        <x:f>IF(I22="Inconclusive","Inconclusive",IF(AND(OR(R22="User",R22="Mixed"),J22&lt;&gt;""),IF(R22="Mixed","Mixed Reply","Verified User Reply"),"No Verified User Reply"))</x:f>
        <x:v>No Verified User Reply</x:v>
      </x:c>
      <x:c r="U22" s="32" t="str">
        <x:v>BATCH-VERIFY-24H</x:v>
      </x:c>
      <x:c r="V22" s="32" t="str">
        <x:f>D22&amp;"|"&amp;S22</x:f>
        <x:v>IC-0009|24h</x:v>
      </x:c>
      <x:c r="W22" s="32" t="str">
        <x:f>I22</x:f>
        <x:v>Visible</x:v>
      </x:c>
      <x:c r="X22" s="32" t="str">
        <x:f>R22</x:f>
        <x:v>None</x:v>
      </x:c>
      <x:c r="Y22" s="33" t="str">
        <x:f>T22</x:f>
        <x:v>No Verified User Reply</x:v>
      </x:c>
    </x:row>
    <x:row r="23">
      <x:c r="A23" s="49" t="n">
        <x:v>46224</x:v>
      </x:c>
      <x:c r="B23" s="32" t="str">
        <x:v>12:30</x:v>
      </x:c>
      <x:c r="C23" s="52" t="n">
        <x:v>46224</x:v>
      </x:c>
      <x:c r="D23" s="32" t="str">
        <x:v>IC-0010</x:v>
      </x:c>
      <x:c r="E23" s="32" t="str">
        <x:v>Account Slot 10</x:v>
      </x:c>
      <x:c r="F23" s="32" t="str">
        <x:v>https://video.invalid/case/V0010</x:v>
      </x:c>
      <x:c r="G23" s="32" t="str">
        <x:v>creator_case_010</x:v>
      </x:c>
      <x:c r="H23" s="32" t="str">
        <x:v>Pending</x:v>
      </x:c>
      <x:c r="I23" s="32" t="str">
        <x:v>Missing</x:v>
      </x:c>
      <x:c r="J23" s="32" t="str">
        <x:v>EVD-SYN-0010-30M</x:v>
      </x:c>
      <x:c r="K23" s="32" t="str">
        <x:v>30m verification</x:v>
      </x:c>
      <x:c r="L23" s="32" t="str">
        <x:v>None</x:v>
      </x:c>
      <x:c r="M23" s="32" t="str">
        <x:v>Pass</x:v>
      </x:c>
      <x:c r="N23" s="32" t="str">
        <x:v>ชุดนี้แต่งตามง่ายและเหมาะกับหลายโอกาสจริงค่ะ ลองใช้ลูกเล่นขาวดำแบบในรูปกับชุดนี้ดูค่ะ ยังสุภาพแต่ภาพรวมดูมีคาแรกเตอร์ขึ้น</x:v>
      </x:c>
      <x:c r="O23" s="32"/>
      <x:c r="P23" s="32" t="n">
        <x:v>0</x:v>
      </x:c>
      <x:c r="Q23" s="32" t="str"/>
      <x:c r="R23" s="32" t="str">
        <x:v>None</x:v>
      </x:c>
      <x:c r="S23" s="32" t="str">
        <x:v>30m</x:v>
      </x:c>
      <x:c r="T23" s="32" t="str">
        <x:f>IF(I23="Inconclusive","Inconclusive",IF(AND(OR(R23="User",R23="Mixed"),J23&lt;&gt;""),IF(R23="Mixed","Mixed Reply","Verified User Reply"),"No Verified User Reply"))</x:f>
        <x:v>No Verified User Reply</x:v>
      </x:c>
      <x:c r="U23" s="32" t="str">
        <x:v>BATCH-VERIFY-30M</x:v>
      </x:c>
      <x:c r="V23" s="32" t="str">
        <x:f>D23&amp;"|"&amp;S23</x:f>
        <x:v>IC-0010|30m</x:v>
      </x:c>
      <x:c r="W23" s="32" t="str">
        <x:f>I23</x:f>
        <x:v>Missing</x:v>
      </x:c>
      <x:c r="X23" s="32" t="str">
        <x:f>R23</x:f>
        <x:v>None</x:v>
      </x:c>
      <x:c r="Y23" s="33" t="str">
        <x:f>T23</x:f>
        <x:v>No Verified User Reply</x:v>
      </x:c>
    </x:row>
    <x:row r="24">
      <x:c r="A24" s="49" t="n">
        <x:v>46225</x:v>
      </x:c>
      <x:c r="B24" s="32" t="str">
        <x:v>12:00</x:v>
      </x:c>
      <x:c r="C24" s="52" t="n">
        <x:v>46224</x:v>
      </x:c>
      <x:c r="D24" s="32" t="str">
        <x:v>IC-0010</x:v>
      </x:c>
      <x:c r="E24" s="32" t="str">
        <x:v>Account Slot 10</x:v>
      </x:c>
      <x:c r="F24" s="32" t="str">
        <x:v>https://video.invalid/case/V0010</x:v>
      </x:c>
      <x:c r="G24" s="32" t="str">
        <x:v>creator_case_010</x:v>
      </x:c>
      <x:c r="H24" s="32" t="str">
        <x:v>Pending</x:v>
      </x:c>
      <x:c r="I24" s="32" t="str">
        <x:v>Visible</x:v>
      </x:c>
      <x:c r="J24" s="32" t="str">
        <x:v>EVD-SYN-0010-24H</x:v>
      </x:c>
      <x:c r="K24" s="32" t="str">
        <x:v>24h verification</x:v>
      </x:c>
      <x:c r="L24" s="32" t="str">
        <x:v>None</x:v>
      </x:c>
      <x:c r="M24" s="32" t="str">
        <x:v>Pass</x:v>
      </x:c>
      <x:c r="N24" s="32" t="str">
        <x:v>ชุดนี้แต่งตามง่ายและเหมาะกับหลายโอกาสจริงค่ะ ลองใช้ลูกเล่นขาวดำแบบในรูปกับชุดนี้ดูค่ะ ยังสุภาพแต่ภาพรวมดูมีคาแรกเตอร์ขึ้น</x:v>
      </x:c>
      <x:c r="O24" s="32" t="str">
        <x:v>ชุดนี้แต่งตามง่ายและเหมาะกับหลายโอกาสจริงค่ะ ลองใช้ลูกเล่นขาวดำแบบในรูปกับชุดนี้ดูค่ะ ยังสุภาพแต่ภาพรวมดูมีคาแรกเตอร์ขึ้น</x:v>
      </x:c>
      <x:c r="P24" s="32" t="n">
        <x:v>0</x:v>
      </x:c>
      <x:c r="Q24" s="32" t="str"/>
      <x:c r="R24" s="32" t="str">
        <x:v>None</x:v>
      </x:c>
      <x:c r="S24" s="32" t="str">
        <x:v>24h</x:v>
      </x:c>
      <x:c r="T24" s="32" t="str">
        <x:f>IF(I24="Inconclusive","Inconclusive",IF(AND(OR(R24="User",R24="Mixed"),J24&lt;&gt;""),IF(R24="Mixed","Mixed Reply","Verified User Reply"),"No Verified User Reply"))</x:f>
        <x:v>No Verified User Reply</x:v>
      </x:c>
      <x:c r="U24" s="32" t="str">
        <x:v>BATCH-VERIFY-24H</x:v>
      </x:c>
      <x:c r="V24" s="32" t="str">
        <x:f>D24&amp;"|"&amp;S24</x:f>
        <x:v>IC-0010|24h</x:v>
      </x:c>
      <x:c r="W24" s="32" t="str">
        <x:f>I24</x:f>
        <x:v>Visible</x:v>
      </x:c>
      <x:c r="X24" s="32" t="str">
        <x:f>R24</x:f>
        <x:v>None</x:v>
      </x:c>
      <x:c r="Y24" s="33" t="str">
        <x:f>T24</x:f>
        <x:v>No Verified User Reply</x:v>
      </x:c>
    </x:row>
    <x:row r="25">
      <x:c r="A25" s="49" t="n">
        <x:v>46224</x:v>
      </x:c>
      <x:c r="B25" s="32" t="str">
        <x:v>12:30</x:v>
      </x:c>
      <x:c r="C25" s="52" t="n">
        <x:v>46224</x:v>
      </x:c>
      <x:c r="D25" s="32" t="str">
        <x:v>IC-0011</x:v>
      </x:c>
      <x:c r="E25" s="32" t="str">
        <x:v>Account Slot 1</x:v>
      </x:c>
      <x:c r="F25" s="32" t="str">
        <x:v>https://video.invalid/case/V0011</x:v>
      </x:c>
      <x:c r="G25" s="32" t="str">
        <x:v>creator_case_011</x:v>
      </x:c>
      <x:c r="H25" s="32" t="str">
        <x:v>Pending</x:v>
      </x:c>
      <x:c r="I25" s="32" t="str">
        <x:v>Visible</x:v>
      </x:c>
      <x:c r="J25" s="32" t="str">
        <x:v>EVD-SYN-0011-30M</x:v>
      </x:c>
      <x:c r="K25" s="32" t="str">
        <x:v>30m verification</x:v>
      </x:c>
      <x:c r="L25" s="32" t="str">
        <x:v>None</x:v>
      </x:c>
      <x:c r="M25" s="32" t="str">
        <x:v>Pass</x:v>
      </x:c>
      <x:c r="N25" s="32" t="str">
        <x:v>เสื้อคอปกตัวนี้ดูคลาสสิกและแมตช์เครื่องประดับง่ายมาก ดีเทลคอเสื้อกับปลายแขนแบบในรูปช่วยเปลี่ยนเสื้อตัวเดิมให้ดูพิเศษขึ้นพอดี</x:v>
      </x:c>
      <x:c r="O25" s="32" t="str">
        <x:v>เสื้อคอปกตัวนี้ดูคลาสสิกและแมตช์เครื่องประดับง่ายมาก ดีเทลคอเสื้อกับปลายแขนแบบในรูปช่วยเปลี่ยนเสื้อตัวเดิมให้ดูพิเศษขึ้นพอดี</x:v>
      </x:c>
      <x:c r="P25" s="32" t="n">
        <x:v>0</x:v>
      </x:c>
      <x:c r="Q25" s="32" t="str"/>
      <x:c r="R25" s="32" t="str">
        <x:v>None</x:v>
      </x:c>
      <x:c r="S25" s="32" t="str">
        <x:v>30m</x:v>
      </x:c>
      <x:c r="T25" s="32" t="str">
        <x:f>IF(I25="Inconclusive","Inconclusive",IF(AND(OR(R25="User",R25="Mixed"),J25&lt;&gt;""),IF(R25="Mixed","Mixed Reply","Verified User Reply"),"No Verified User Reply"))</x:f>
        <x:v>No Verified User Reply</x:v>
      </x:c>
      <x:c r="U25" s="32" t="str">
        <x:v>BATCH-VERIFY-30M</x:v>
      </x:c>
      <x:c r="V25" s="32" t="str">
        <x:f>D25&amp;"|"&amp;S25</x:f>
        <x:v>IC-0011|30m</x:v>
      </x:c>
      <x:c r="W25" s="32" t="str">
        <x:f>I25</x:f>
        <x:v>Visible</x:v>
      </x:c>
      <x:c r="X25" s="32" t="str">
        <x:f>R25</x:f>
        <x:v>None</x:v>
      </x:c>
      <x:c r="Y25" s="33" t="str">
        <x:f>T25</x:f>
        <x:v>No Verified User Reply</x:v>
      </x:c>
    </x:row>
    <x:row r="26">
      <x:c r="A26" s="49" t="n">
        <x:v>46225</x:v>
      </x:c>
      <x:c r="B26" s="32" t="str">
        <x:v>12:00</x:v>
      </x:c>
      <x:c r="C26" s="52" t="n">
        <x:v>46224</x:v>
      </x:c>
      <x:c r="D26" s="32" t="str">
        <x:v>IC-0011</x:v>
      </x:c>
      <x:c r="E26" s="32" t="str">
        <x:v>Account Slot 1</x:v>
      </x:c>
      <x:c r="F26" s="32" t="str">
        <x:v>https://video.invalid/case/V0011</x:v>
      </x:c>
      <x:c r="G26" s="32" t="str">
        <x:v>creator_case_011</x:v>
      </x:c>
      <x:c r="H26" s="32" t="str">
        <x:v>Pending</x:v>
      </x:c>
      <x:c r="I26" s="32" t="str">
        <x:v>Missing</x:v>
      </x:c>
      <x:c r="J26" s="32" t="str">
        <x:v>EVD-SYN-0011-24H</x:v>
      </x:c>
      <x:c r="K26" s="32" t="str">
        <x:v>24h verification</x:v>
      </x:c>
      <x:c r="L26" s="32" t="str">
        <x:v>None</x:v>
      </x:c>
      <x:c r="M26" s="32" t="str">
        <x:v>Pass</x:v>
      </x:c>
      <x:c r="N26" s="32" t="str">
        <x:v>เสื้อคอปกตัวนี้ดูคลาสสิกและแมตช์เครื่องประดับง่ายมาก ดีเทลคอเสื้อกับปลายแขนแบบในรูปช่วยเปลี่ยนเสื้อตัวเดิมให้ดูพิเศษขึ้นพอดี</x:v>
      </x:c>
      <x:c r="O26" s="32"/>
      <x:c r="P26" s="32" t="n">
        <x:v>0</x:v>
      </x:c>
      <x:c r="Q26" s="32" t="str"/>
      <x:c r="R26" s="32" t="str">
        <x:v>None</x:v>
      </x:c>
      <x:c r="S26" s="32" t="str">
        <x:v>24h</x:v>
      </x:c>
      <x:c r="T26" s="32" t="str">
        <x:f>IF(I26="Inconclusive","Inconclusive",IF(AND(OR(R26="User",R26="Mixed"),J26&lt;&gt;""),IF(R26="Mixed","Mixed Reply","Verified User Reply"),"No Verified User Reply"))</x:f>
        <x:v>No Verified User Reply</x:v>
      </x:c>
      <x:c r="U26" s="32" t="str">
        <x:v>BATCH-VERIFY-24H</x:v>
      </x:c>
      <x:c r="V26" s="32" t="str">
        <x:f>D26&amp;"|"&amp;S26</x:f>
        <x:v>IC-0011|24h</x:v>
      </x:c>
      <x:c r="W26" s="32" t="str">
        <x:f>I26</x:f>
        <x:v>Missing</x:v>
      </x:c>
      <x:c r="X26" s="32" t="str">
        <x:f>R26</x:f>
        <x:v>None</x:v>
      </x:c>
      <x:c r="Y26" s="33" t="str">
        <x:f>T26</x:f>
        <x:v>No Verified User Reply</x:v>
      </x:c>
    </x:row>
    <x:row r="27">
      <x:c r="A27" s="49" t="n">
        <x:v>46224</x:v>
      </x:c>
      <x:c r="B27" s="32" t="str">
        <x:v>12:30</x:v>
      </x:c>
      <x:c r="C27" s="52" t="n">
        <x:v>46224</x:v>
      </x:c>
      <x:c r="D27" s="32" t="str">
        <x:v>IC-0012</x:v>
      </x:c>
      <x:c r="E27" s="32" t="str">
        <x:v>Account Slot 2</x:v>
      </x:c>
      <x:c r="F27" s="32" t="str">
        <x:v>https://video.invalid/case/V0012</x:v>
      </x:c>
      <x:c r="G27" s="32" t="str">
        <x:v>creator_case_012</x:v>
      </x:c>
      <x:c r="H27" s="32" t="str">
        <x:v>Pending</x:v>
      </x:c>
      <x:c r="I27" s="32" t="str">
        <x:v>Visible</x:v>
      </x:c>
      <x:c r="J27" s="32" t="str">
        <x:v>EVD-SYN-0012-30M</x:v>
      </x:c>
      <x:c r="K27" s="32" t="str">
        <x:v>30m verification</x:v>
      </x:c>
      <x:c r="L27" s="32" t="str">
        <x:v>None</x:v>
      </x:c>
      <x:c r="M27" s="32" t="str">
        <x:v>Pass</x:v>
      </x:c>
      <x:c r="N27" s="32" t="str">
        <x:v>ซื้อเลย โปรแรงที่สุด คลิกลิงก์ร้านตอนนี้!!!</x:v>
      </x:c>
      <x:c r="O27" s="32" t="str">
        <x:v>ซื้อเลย โปรแรงที่สุด คลิกลิงก์ร้านตอนนี้!!!</x:v>
      </x:c>
      <x:c r="P27" s="32" t="n">
        <x:v>1</x:v>
      </x:c>
      <x:c r="Q27" s="32" t="str">
        <x:v>Synthetic reply preview</x:v>
      </x:c>
      <x:c r="R27" s="32" t="str">
        <x:v>Creator</x:v>
      </x:c>
      <x:c r="S27" s="32" t="str">
        <x:v>30m</x:v>
      </x:c>
      <x:c r="T27" s="32" t="str">
        <x:f>IF(I27="Inconclusive","Inconclusive",IF(AND(OR(R27="User",R27="Mixed"),J27&lt;&gt;""),IF(R27="Mixed","Mixed Reply","Verified User Reply"),"No Verified User Reply"))</x:f>
        <x:v>No Verified User Reply</x:v>
      </x:c>
      <x:c r="U27" s="32" t="str">
        <x:v>BATCH-VERIFY-30M</x:v>
      </x:c>
      <x:c r="V27" s="32" t="str">
        <x:f>D27&amp;"|"&amp;S27</x:f>
        <x:v>IC-0012|30m</x:v>
      </x:c>
      <x:c r="W27" s="32" t="str">
        <x:f>I27</x:f>
        <x:v>Visible</x:v>
      </x:c>
      <x:c r="X27" s="32" t="str">
        <x:f>R27</x:f>
        <x:v>Creator</x:v>
      </x:c>
      <x:c r="Y27" s="33" t="str">
        <x:f>T27</x:f>
        <x:v>No Verified User Reply</x:v>
      </x:c>
    </x:row>
    <x:row r="28">
      <x:c r="A28" s="49" t="n">
        <x:v>46225</x:v>
      </x:c>
      <x:c r="B28" s="32" t="str">
        <x:v>12:00</x:v>
      </x:c>
      <x:c r="C28" s="52" t="n">
        <x:v>46224</x:v>
      </x:c>
      <x:c r="D28" s="32" t="str">
        <x:v>IC-0012</x:v>
      </x:c>
      <x:c r="E28" s="32" t="str">
        <x:v>Account Slot 2</x:v>
      </x:c>
      <x:c r="F28" s="32" t="str">
        <x:v>https://video.invalid/case/V0012</x:v>
      </x:c>
      <x:c r="G28" s="32" t="str">
        <x:v>creator_case_012</x:v>
      </x:c>
      <x:c r="H28" s="32" t="str">
        <x:v>Pending</x:v>
      </x:c>
      <x:c r="I28" s="32" t="str">
        <x:v>Visible</x:v>
      </x:c>
      <x:c r="J28" s="32" t="str">
        <x:v>EVD-SYN-0012-24H</x:v>
      </x:c>
      <x:c r="K28" s="32" t="str">
        <x:v>24h verification</x:v>
      </x:c>
      <x:c r="L28" s="32" t="str">
        <x:v>None</x:v>
      </x:c>
      <x:c r="M28" s="32" t="str">
        <x:v>Pass</x:v>
      </x:c>
      <x:c r="N28" s="32" t="str">
        <x:v>ซื้อเลย โปรแรงที่สุด คลิกลิงก์ร้านตอนนี้!!!</x:v>
      </x:c>
      <x:c r="O28" s="32" t="str">
        <x:v>ซื้อเลย โปรแรงที่สุด คลิกลิงก์ร้านตอนนี้!!!</x:v>
      </x:c>
      <x:c r="P28" s="32" t="n">
        <x:v>1</x:v>
      </x:c>
      <x:c r="Q28" s="32" t="str">
        <x:v>Synthetic reply preview</x:v>
      </x:c>
      <x:c r="R28" s="32" t="str">
        <x:v>Creator</x:v>
      </x:c>
      <x:c r="S28" s="32" t="str">
        <x:v>24h</x:v>
      </x:c>
      <x:c r="T28" s="32" t="str">
        <x:f>IF(I28="Inconclusive","Inconclusive",IF(AND(OR(R28="User",R28="Mixed"),J28&lt;&gt;""),IF(R28="Mixed","Mixed Reply","Verified User Reply"),"No Verified User Reply"))</x:f>
        <x:v>No Verified User Reply</x:v>
      </x:c>
      <x:c r="U28" s="32" t="str">
        <x:v>BATCH-VERIFY-24H</x:v>
      </x:c>
      <x:c r="V28" s="32" t="str">
        <x:f>D28&amp;"|"&amp;S28</x:f>
        <x:v>IC-0012|24h</x:v>
      </x:c>
      <x:c r="W28" s="32" t="str">
        <x:f>I28</x:f>
        <x:v>Visible</x:v>
      </x:c>
      <x:c r="X28" s="32" t="str">
        <x:f>R28</x:f>
        <x:v>Creator</x:v>
      </x:c>
      <x:c r="Y28" s="33" t="str">
        <x:f>T28</x:f>
        <x:v>No Verified User Reply</x:v>
      </x:c>
    </x:row>
    <x:row r="29">
      <x:c r="A29" s="49" t="n">
        <x:v>46224</x:v>
      </x:c>
      <x:c r="B29" s="32" t="str">
        <x:v>12:30</x:v>
      </x:c>
      <x:c r="C29" s="52" t="n">
        <x:v>46224</x:v>
      </x:c>
      <x:c r="D29" s="32" t="str">
        <x:v>IC-0013</x:v>
      </x:c>
      <x:c r="E29" s="32" t="str">
        <x:v>Account Slot 3</x:v>
      </x:c>
      <x:c r="F29" s="32" t="str">
        <x:v>https://video.invalid/case/V0013</x:v>
      </x:c>
      <x:c r="G29" s="32" t="str">
        <x:v>creator_case_013</x:v>
      </x:c>
      <x:c r="H29" s="32" t="str">
        <x:v>Pending</x:v>
      </x:c>
      <x:c r="I29" s="32" t="str">
        <x:v>Visible</x:v>
      </x:c>
      <x:c r="J29" s="32" t="str">
        <x:v>EVD-SYN-0013-30M</x:v>
      </x:c>
      <x:c r="K29" s="32" t="str">
        <x:v>30m verification</x:v>
      </x:c>
      <x:c r="L29" s="32" t="str">
        <x:v>None</x:v>
      </x:c>
      <x:c r="M29" s="32" t="str">
        <x:v>Pass</x:v>
      </x:c>
      <x:c r="N29" s="32" t="str">
        <x:v>ชอบความคลีนของเสื้อเชิ้ตลุคนี้ ดูใส่ได้หลายโอกาสเลย จุดเล็ก ๆ โทนชมพูแบบในรูปทำให้เสื้อขาวดูละมุนและแต่งสนุกขึ้นมาก</x:v>
      </x:c>
      <x:c r="O29" s="32" t="str">
        <x:v>ชอบความคลีนของเสื้อเชิ้ตลุคนี้ ดูใส่ได้หลายโอกาสเลย จุดเล็ก ๆ โทนชมพูแบบในรูปทำให้เสื้อขาวดูละมุนและแต่งสนุกขึ้นมาก</x:v>
      </x:c>
      <x:c r="P29" s="32" t="n">
        <x:v>0</x:v>
      </x:c>
      <x:c r="Q29" s="32" t="str"/>
      <x:c r="R29" s="32" t="str">
        <x:v>None</x:v>
      </x:c>
      <x:c r="S29" s="32" t="str">
        <x:v>30m</x:v>
      </x:c>
      <x:c r="T29" s="32" t="str">
        <x:f>IF(I29="Inconclusive","Inconclusive",IF(AND(OR(R29="User",R29="Mixed"),J29&lt;&gt;""),IF(R29="Mixed","Mixed Reply","Verified User Reply"),"No Verified User Reply"))</x:f>
        <x:v>No Verified User Reply</x:v>
      </x:c>
      <x:c r="U29" s="32" t="str">
        <x:v>BATCH-VERIFY-30M</x:v>
      </x:c>
      <x:c r="V29" s="32" t="str">
        <x:f>D29&amp;"|"&amp;S29</x:f>
        <x:v>IC-0013|30m</x:v>
      </x:c>
      <x:c r="W29" s="32" t="str">
        <x:f>I29</x:f>
        <x:v>Visible</x:v>
      </x:c>
      <x:c r="X29" s="32" t="str">
        <x:f>R29</x:f>
        <x:v>None</x:v>
      </x:c>
      <x:c r="Y29" s="33" t="str">
        <x:f>T29</x:f>
        <x:v>No Verified User Reply</x:v>
      </x:c>
    </x:row>
    <x:row r="30">
      <x:c r="A30" s="49" t="n">
        <x:v>46225</x:v>
      </x:c>
      <x:c r="B30" s="32" t="str">
        <x:v>12:00</x:v>
      </x:c>
      <x:c r="C30" s="52" t="n">
        <x:v>46224</x:v>
      </x:c>
      <x:c r="D30" s="32" t="str">
        <x:v>IC-0013</x:v>
      </x:c>
      <x:c r="E30" s="32" t="str">
        <x:v>Account Slot 3</x:v>
      </x:c>
      <x:c r="F30" s="32" t="str">
        <x:v>https://video.invalid/case/V0013</x:v>
      </x:c>
      <x:c r="G30" s="32" t="str">
        <x:v>creator_case_013</x:v>
      </x:c>
      <x:c r="H30" s="32" t="str">
        <x:v>Pending</x:v>
      </x:c>
      <x:c r="I30" s="32" t="str">
        <x:v>Visible</x:v>
      </x:c>
      <x:c r="J30" s="32" t="str">
        <x:v>EVD-SYN-0013-24H</x:v>
      </x:c>
      <x:c r="K30" s="32" t="str">
        <x:v>24h verification</x:v>
      </x:c>
      <x:c r="L30" s="32" t="str">
        <x:v>None</x:v>
      </x:c>
      <x:c r="M30" s="32" t="str">
        <x:v>Pass</x:v>
      </x:c>
      <x:c r="N30" s="32" t="str">
        <x:v>ชอบความคลีนของเสื้อเชิ้ตลุคนี้ ดูใส่ได้หลายโอกาสเลย จุดเล็ก ๆ โทนชมพูแบบในรูปทำให้เสื้อขาวดูละมุนและแต่งสนุกขึ้นมาก</x:v>
      </x:c>
      <x:c r="O30" s="32" t="str">
        <x:v>ชอบความคลีนของเสื้อเชิ้ตลุคนี้ ดูใส่ได้หลายโอกาสเลย จุดเล็ก ๆ โทนชมพูแบบในรูปทำให้เสื้อขาวดูละมุนและแต่งสนุกขึ้นมาก</x:v>
      </x:c>
      <x:c r="P30" s="32" t="n">
        <x:v>0</x:v>
      </x:c>
      <x:c r="Q30" s="32" t="str"/>
      <x:c r="R30" s="32" t="str">
        <x:v>None</x:v>
      </x:c>
      <x:c r="S30" s="32" t="str">
        <x:v>24h</x:v>
      </x:c>
      <x:c r="T30" s="32" t="str">
        <x:f>IF(I30="Inconclusive","Inconclusive",IF(AND(OR(R30="User",R30="Mixed"),J30&lt;&gt;""),IF(R30="Mixed","Mixed Reply","Verified User Reply"),"No Verified User Reply"))</x:f>
        <x:v>No Verified User Reply</x:v>
      </x:c>
      <x:c r="U30" s="32" t="str">
        <x:v>BATCH-VERIFY-24H</x:v>
      </x:c>
      <x:c r="V30" s="32" t="str">
        <x:f>D30&amp;"|"&amp;S30</x:f>
        <x:v>IC-0013|24h</x:v>
      </x:c>
      <x:c r="W30" s="32" t="str">
        <x:f>I30</x:f>
        <x:v>Visible</x:v>
      </x:c>
      <x:c r="X30" s="32" t="str">
        <x:f>R30</x:f>
        <x:v>None</x:v>
      </x:c>
      <x:c r="Y30" s="33" t="str">
        <x:f>T30</x:f>
        <x:v>No Verified User Reply</x:v>
      </x:c>
    </x:row>
    <x:row r="31">
      <x:c r="A31" s="49" t="n">
        <x:v>46224</x:v>
      </x:c>
      <x:c r="B31" s="32" t="str">
        <x:v>12:30</x:v>
      </x:c>
      <x:c r="C31" s="52" t="n">
        <x:v>46224</x:v>
      </x:c>
      <x:c r="D31" s="32" t="str">
        <x:v>IC-0014</x:v>
      </x:c>
      <x:c r="E31" s="32" t="str">
        <x:v>Account Slot 4</x:v>
      </x:c>
      <x:c r="F31" s="32" t="str">
        <x:v>https://video.invalid/case/V0014</x:v>
      </x:c>
      <x:c r="G31" s="32" t="str">
        <x:v>creator_case_014</x:v>
      </x:c>
      <x:c r="H31" s="32" t="str">
        <x:v>Pending</x:v>
      </x:c>
      <x:c r="I31" s="32" t="str">
        <x:v>Visible</x:v>
      </x:c>
      <x:c r="J31" s="32" t="str">
        <x:v>EVD-SYN-0014-30M</x:v>
      </x:c>
      <x:c r="K31" s="32" t="str">
        <x:v>30m verification</x:v>
      </x:c>
      <x:c r="L31" s="32" t="str">
        <x:v>None</x:v>
      </x:c>
      <x:c r="M31" s="32" t="str">
        <x:v>Pass</x:v>
      </x:c>
      <x:c r="N31" s="32" t="str">
        <x:v>มู้ดของลุคนี้ดูสุภาพแต่ไม่ทำให้ชุดน่าเบื่อเลย ถ้าเติมจุดเล็กตรงแนวกระดุมแบบในรูป เสื้อพื้นฐานน่าจะได้อีกมู้ดที่ดูตั้งใจขึ้น</x:v>
      </x:c>
      <x:c r="O31" s="32" t="str">
        <x:v>มู้ดของลุคนี้ดูสุภาพแต่ไม่ทำให้ชุดน่าเบื่อเลย ถ้าเติมจุดเล็กตรงแนวกระดุมแบบในรูป เสื้อพื้นฐานน่าจะได้อีกมู้ดที่ดูตั้งใจขึ้น</x:v>
      </x:c>
      <x:c r="P31" s="32" t="n">
        <x:v>2</x:v>
      </x:c>
      <x:c r="Q31" s="32" t="str">
        <x:v>Synthetic reply preview</x:v>
      </x:c>
      <x:c r="R31" s="32" t="str">
        <x:v>Mixed</x:v>
      </x:c>
      <x:c r="S31" s="32" t="str">
        <x:v>30m</x:v>
      </x:c>
      <x:c r="T31" s="32" t="str">
        <x:f>IF(I31="Inconclusive","Inconclusive",IF(AND(OR(R31="User",R31="Mixed"),J31&lt;&gt;""),IF(R31="Mixed","Mixed Reply","Verified User Reply"),"No Verified User Reply"))</x:f>
        <x:v>Mixed Reply</x:v>
      </x:c>
      <x:c r="U31" s="32" t="str">
        <x:v>BATCH-VERIFY-30M</x:v>
      </x:c>
      <x:c r="V31" s="32" t="str">
        <x:f>D31&amp;"|"&amp;S31</x:f>
        <x:v>IC-0014|30m</x:v>
      </x:c>
      <x:c r="W31" s="32" t="str">
        <x:f>I31</x:f>
        <x:v>Visible</x:v>
      </x:c>
      <x:c r="X31" s="32" t="str">
        <x:f>R31</x:f>
        <x:v>Mixed</x:v>
      </x:c>
      <x:c r="Y31" s="33" t="str">
        <x:f>T31</x:f>
        <x:v>Mixed Reply</x:v>
      </x:c>
    </x:row>
    <x:row r="32">
      <x:c r="A32" s="49" t="n">
        <x:v>46225</x:v>
      </x:c>
      <x:c r="B32" s="32" t="str">
        <x:v>12:00</x:v>
      </x:c>
      <x:c r="C32" s="52" t="n">
        <x:v>46224</x:v>
      </x:c>
      <x:c r="D32" s="32" t="str">
        <x:v>IC-0014</x:v>
      </x:c>
      <x:c r="E32" s="32" t="str">
        <x:v>Account Slot 4</x:v>
      </x:c>
      <x:c r="F32" s="32" t="str">
        <x:v>https://video.invalid/case/V0014</x:v>
      </x:c>
      <x:c r="G32" s="32" t="str">
        <x:v>creator_case_014</x:v>
      </x:c>
      <x:c r="H32" s="32" t="str">
        <x:v>Pending</x:v>
      </x:c>
      <x:c r="I32" s="32" t="str">
        <x:v>Visible</x:v>
      </x:c>
      <x:c r="J32" s="32" t="str">
        <x:v>EVD-SYN-0014-24H</x:v>
      </x:c>
      <x:c r="K32" s="32" t="str">
        <x:v>24h verification</x:v>
      </x:c>
      <x:c r="L32" s="32" t="str">
        <x:v>None</x:v>
      </x:c>
      <x:c r="M32" s="32" t="str">
        <x:v>Pass</x:v>
      </x:c>
      <x:c r="N32" s="32" t="str">
        <x:v>มู้ดของลุคนี้ดูสุภาพแต่ไม่ทำให้ชุดน่าเบื่อเลย ถ้าเติมจุดเล็กตรงแนวกระดุมแบบในรูป เสื้อพื้นฐานน่าจะได้อีกมู้ดที่ดูตั้งใจขึ้น</x:v>
      </x:c>
      <x:c r="O32" s="32" t="str">
        <x:v>มู้ดของลุคนี้ดูสุภาพแต่ไม่ทำให้ชุดน่าเบื่อเลย ถ้าเติมจุดเล็กตรงแนวกระดุมแบบในรูป เสื้อพื้นฐานน่าจะได้อีกมู้ดที่ดูตั้งใจขึ้น</x:v>
      </x:c>
      <x:c r="P32" s="32" t="n">
        <x:v>2</x:v>
      </x:c>
      <x:c r="Q32" s="32" t="str">
        <x:v>Synthetic reply preview</x:v>
      </x:c>
      <x:c r="R32" s="32" t="str">
        <x:v>Mixed</x:v>
      </x:c>
      <x:c r="S32" s="32" t="str">
        <x:v>24h</x:v>
      </x:c>
      <x:c r="T32" s="32" t="str">
        <x:f>IF(I32="Inconclusive","Inconclusive",IF(AND(OR(R32="User",R32="Mixed"),J32&lt;&gt;""),IF(R32="Mixed","Mixed Reply","Verified User Reply"),"No Verified User Reply"))</x:f>
        <x:v>Mixed Reply</x:v>
      </x:c>
      <x:c r="U32" s="32" t="str">
        <x:v>BATCH-VERIFY-24H</x:v>
      </x:c>
      <x:c r="V32" s="32" t="str">
        <x:f>D32&amp;"|"&amp;S32</x:f>
        <x:v>IC-0014|24h</x:v>
      </x:c>
      <x:c r="W32" s="32" t="str">
        <x:f>I32</x:f>
        <x:v>Visible</x:v>
      </x:c>
      <x:c r="X32" s="32" t="str">
        <x:f>R32</x:f>
        <x:v>Mixed</x:v>
      </x:c>
      <x:c r="Y32" s="33" t="str">
        <x:f>T32</x:f>
        <x:v>Mixed Reply</x:v>
      </x:c>
    </x:row>
    <x:row r="33">
      <x:c r="A33" s="49" t="n">
        <x:v>46224</x:v>
      </x:c>
      <x:c r="B33" s="32" t="str">
        <x:v>12:30</x:v>
      </x:c>
      <x:c r="C33" s="52" t="n">
        <x:v>46224</x:v>
      </x:c>
      <x:c r="D33" s="32" t="str">
        <x:v>IC-0015</x:v>
      </x:c>
      <x:c r="E33" s="32" t="str">
        <x:v>Account Slot 5</x:v>
      </x:c>
      <x:c r="F33" s="32" t="str">
        <x:v>https://video.invalid/case/V0015</x:v>
      </x:c>
      <x:c r="G33" s="32" t="str">
        <x:v>creator_case_015</x:v>
      </x:c>
      <x:c r="H33" s="32" t="str">
        <x:v>Pending</x:v>
      </x:c>
      <x:c r="I33" s="32" t="str">
        <x:v>Visible</x:v>
      </x:c>
      <x:c r="J33" s="32" t="str">
        <x:v>EVD-SYN-0015-30M</x:v>
      </x:c>
      <x:c r="K33" s="32" t="str">
        <x:v>30m verification</x:v>
      </x:c>
      <x:c r="L33" s="32" t="str">
        <x:v>None</x:v>
      </x:c>
      <x:c r="M33" s="32" t="str">
        <x:v>Pass</x:v>
      </x:c>
      <x:c r="N33" s="32" t="str">
        <x:v>ลุคไปทำงานแบบนี้ดูคล่องตัวและเป็นระเบียบมาก พอมีตัวครอบกระดุมชิ้นเล็กแบบในรูป ช่วงคอกับข้อมือก็ดูตั้งใจขึ้นทันที</x:v>
      </x:c>
      <x:c r="O33" s="32" t="str">
        <x:v>ลุคไปทำงานแบบนี้ดูคล่องตัวและเป็นระเบียบมาก พอมีตัวครอบกระดุมชิ้นเล็กแบบในรูป ช่วงคอกับข้อมือก็ดูตั้งใจขึ้นทันที</x:v>
      </x:c>
      <x:c r="P33" s="32" t="n">
        <x:v>1</x:v>
      </x:c>
      <x:c r="Q33" s="32" t="str">
        <x:v>Synthetic reply preview</x:v>
      </x:c>
      <x:c r="R33" s="32" t="str">
        <x:v>User</x:v>
      </x:c>
      <x:c r="S33" s="32" t="str">
        <x:v>30m</x:v>
      </x:c>
      <x:c r="T33" s="32" t="str">
        <x:f>IF(I33="Inconclusive","Inconclusive",IF(AND(OR(R33="User",R33="Mixed"),J33&lt;&gt;""),IF(R33="Mixed","Mixed Reply","Verified User Reply"),"No Verified User Reply"))</x:f>
        <x:v>Verified User Reply</x:v>
      </x:c>
      <x:c r="U33" s="32" t="str">
        <x:v>BATCH-VERIFY-30M</x:v>
      </x:c>
      <x:c r="V33" s="32" t="str">
        <x:f>D33&amp;"|"&amp;S33</x:f>
        <x:v>IC-0015|30m</x:v>
      </x:c>
      <x:c r="W33" s="32" t="str">
        <x:f>I33</x:f>
        <x:v>Visible</x:v>
      </x:c>
      <x:c r="X33" s="32" t="str">
        <x:f>R33</x:f>
        <x:v>User</x:v>
      </x:c>
      <x:c r="Y33" s="33" t="str">
        <x:f>T33</x:f>
        <x:v>Verified User Reply</x:v>
      </x:c>
    </x:row>
    <x:row r="34">
      <x:c r="A34" s="49" t="n">
        <x:v>46225</x:v>
      </x:c>
      <x:c r="B34" s="32" t="str">
        <x:v>12:00</x:v>
      </x:c>
      <x:c r="C34" s="52" t="n">
        <x:v>46224</x:v>
      </x:c>
      <x:c r="D34" s="32" t="str">
        <x:v>IC-0015</x:v>
      </x:c>
      <x:c r="E34" s="32" t="str">
        <x:v>Account Slot 5</x:v>
      </x:c>
      <x:c r="F34" s="32" t="str">
        <x:v>https://video.invalid/case/V0015</x:v>
      </x:c>
      <x:c r="G34" s="32" t="str">
        <x:v>creator_case_015</x:v>
      </x:c>
      <x:c r="H34" s="32" t="str">
        <x:v>Pending</x:v>
      </x:c>
      <x:c r="I34" s="32" t="str">
        <x:v>Visible</x:v>
      </x:c>
      <x:c r="J34" s="32" t="str">
        <x:v>EVD-SYN-0015-24H</x:v>
      </x:c>
      <x:c r="K34" s="32" t="str">
        <x:v>24h verification</x:v>
      </x:c>
      <x:c r="L34" s="32" t="str">
        <x:v>None</x:v>
      </x:c>
      <x:c r="M34" s="32" t="str">
        <x:v>Pass</x:v>
      </x:c>
      <x:c r="N34" s="32" t="str">
        <x:v>ลุคไปทำงานแบบนี้ดูคล่องตัวและเป็นระเบียบมาก พอมีตัวครอบกระดุมชิ้นเล็กแบบในรูป ช่วงคอกับข้อมือก็ดูตั้งใจขึ้นทันที</x:v>
      </x:c>
      <x:c r="O34" s="32" t="str">
        <x:v>ลุคไปทำงานแบบนี้ดูคล่องตัวและเป็นระเบียบมาก พอมีตัวครอบกระดุมชิ้นเล็กแบบในรูป ช่วงคอกับข้อมือก็ดูตั้งใจขึ้นทันที</x:v>
      </x:c>
      <x:c r="P34" s="32" t="n">
        <x:v>1</x:v>
      </x:c>
      <x:c r="Q34" s="32" t="str">
        <x:v>Synthetic reply preview</x:v>
      </x:c>
      <x:c r="R34" s="32" t="str">
        <x:v>User</x:v>
      </x:c>
      <x:c r="S34" s="32" t="str">
        <x:v>24h</x:v>
      </x:c>
      <x:c r="T34" s="32" t="str">
        <x:f>IF(I34="Inconclusive","Inconclusive",IF(AND(OR(R34="User",R34="Mixed"),J34&lt;&gt;""),IF(R34="Mixed","Mixed Reply","Verified User Reply"),"No Verified User Reply"))</x:f>
        <x:v>Verified User Reply</x:v>
      </x:c>
      <x:c r="U34" s="32" t="str">
        <x:v>BATCH-VERIFY-24H</x:v>
      </x:c>
      <x:c r="V34" s="32" t="str">
        <x:f>D34&amp;"|"&amp;S34</x:f>
        <x:v>IC-0015|24h</x:v>
      </x:c>
      <x:c r="W34" s="32" t="str">
        <x:f>I34</x:f>
        <x:v>Visible</x:v>
      </x:c>
      <x:c r="X34" s="32" t="str">
        <x:f>R34</x:f>
        <x:v>User</x:v>
      </x:c>
      <x:c r="Y34" s="33" t="str">
        <x:f>T34</x:f>
        <x:v>Verified User Reply</x:v>
      </x:c>
    </x:row>
    <x:row r="35">
      <x:c r="A35" s="49" t="n">
        <x:v>46224</x:v>
      </x:c>
      <x:c r="B35" s="32" t="str">
        <x:v>12:30</x:v>
      </x:c>
      <x:c r="C35" s="52" t="n">
        <x:v>46224</x:v>
      </x:c>
      <x:c r="D35" s="32" t="str">
        <x:v>IC-0016</x:v>
      </x:c>
      <x:c r="E35" s="32" t="str">
        <x:v>Account Slot 6</x:v>
      </x:c>
      <x:c r="F35" s="32" t="str">
        <x:v>https://video.invalid/case/V0016</x:v>
      </x:c>
      <x:c r="G35" s="32" t="str">
        <x:v>creator_case_016</x:v>
      </x:c>
      <x:c r="H35" s="32" t="str">
        <x:v>Pending</x:v>
      </x:c>
      <x:c r="I35" s="32" t="str">
        <x:v>Visible</x:v>
      </x:c>
      <x:c r="J35" s="32" t="str">
        <x:v>EVD-SYN-0016-30M</x:v>
      </x:c>
      <x:c r="K35" s="32" t="str">
        <x:v>30m verification</x:v>
      </x:c>
      <x:c r="L35" s="32" t="str">
        <x:v>None</x:v>
      </x:c>
      <x:c r="M35" s="32" t="str">
        <x:v>Pass</x:v>
      </x:c>
      <x:c r="N35" s="32" t="str">
        <x:v>มู้ดของลุคนี้ดูสุภาพแต่ไม่ทำให้ชุดน่าเบื่อเลย ถ้าเล่นลูกเล่นกระดุมดอกไม้เล็ก ๆ แบบในรูป ช่วงบนของลุคน่าจะเด่นขึ้นพอดีค่ะ</x:v>
      </x:c>
      <x:c r="O35" s="32" t="str">
        <x:v>มู้ดของลุคนี้ดูสุภาพแต่ไม่ทำให้ชุดน่าเบื่อเลย ถ้าเล่นลูกเล่นกระดุมดอกไม้เล็ก ๆ แบบในรูป ช่วงบนของลุคน่าจะเด่นขึ้นพอดีค่ะ</x:v>
      </x:c>
      <x:c r="P35" s="32" t="n">
        <x:v>0</x:v>
      </x:c>
      <x:c r="Q35" s="32" t="str"/>
      <x:c r="R35" s="32" t="str">
        <x:v>None</x:v>
      </x:c>
      <x:c r="S35" s="32" t="str">
        <x:v>30m</x:v>
      </x:c>
      <x:c r="T35" s="32" t="str">
        <x:f>IF(I35="Inconclusive","Inconclusive",IF(AND(OR(R35="User",R35="Mixed"),J35&lt;&gt;""),IF(R35="Mixed","Mixed Reply","Verified User Reply"),"No Verified User Reply"))</x:f>
        <x:v>No Verified User Reply</x:v>
      </x:c>
      <x:c r="U35" s="32" t="str">
        <x:v>BATCH-VERIFY-30M</x:v>
      </x:c>
      <x:c r="V35" s="32" t="str">
        <x:f>D35&amp;"|"&amp;S35</x:f>
        <x:v>IC-0016|30m</x:v>
      </x:c>
      <x:c r="W35" s="32" t="str">
        <x:f>I35</x:f>
        <x:v>Visible</x:v>
      </x:c>
      <x:c r="X35" s="32" t="str">
        <x:f>R35</x:f>
        <x:v>None</x:v>
      </x:c>
      <x:c r="Y35" s="33" t="str">
        <x:f>T35</x:f>
        <x:v>No Verified User Reply</x:v>
      </x:c>
    </x:row>
    <x:row r="36">
      <x:c r="A36" s="49" t="n">
        <x:v>46225</x:v>
      </x:c>
      <x:c r="B36" s="32" t="str">
        <x:v>12:00</x:v>
      </x:c>
      <x:c r="C36" s="52" t="n">
        <x:v>46224</x:v>
      </x:c>
      <x:c r="D36" s="32" t="str">
        <x:v>IC-0016</x:v>
      </x:c>
      <x:c r="E36" s="32" t="str">
        <x:v>Account Slot 6</x:v>
      </x:c>
      <x:c r="F36" s="32" t="str">
        <x:v>https://video.invalid/case/V0016</x:v>
      </x:c>
      <x:c r="G36" s="32" t="str">
        <x:v>creator_case_016</x:v>
      </x:c>
      <x:c r="H36" s="32" t="str">
        <x:v>Pending</x:v>
      </x:c>
      <x:c r="I36" s="32" t="str">
        <x:v>Missing</x:v>
      </x:c>
      <x:c r="J36" s="32" t="str">
        <x:v>EVD-SYN-0016-24H</x:v>
      </x:c>
      <x:c r="K36" s="32" t="str">
        <x:v>24h verification</x:v>
      </x:c>
      <x:c r="L36" s="32" t="str">
        <x:v>None</x:v>
      </x:c>
      <x:c r="M36" s="32" t="str">
        <x:v>Pass</x:v>
      </x:c>
      <x:c r="N36" s="32" t="str">
        <x:v>มู้ดของลุคนี้ดูสุภาพแต่ไม่ทำให้ชุดน่าเบื่อเลย ถ้าเล่นลูกเล่นกระดุมดอกไม้เล็ก ๆ แบบในรูป ช่วงบนของลุคน่าจะเด่นขึ้นพอดีค่ะ</x:v>
      </x:c>
      <x:c r="O36" s="32"/>
      <x:c r="P36" s="32" t="n">
        <x:v>0</x:v>
      </x:c>
      <x:c r="Q36" s="32" t="str"/>
      <x:c r="R36" s="32" t="str">
        <x:v>None</x:v>
      </x:c>
      <x:c r="S36" s="32" t="str">
        <x:v>24h</x:v>
      </x:c>
      <x:c r="T36" s="32" t="str">
        <x:f>IF(I36="Inconclusive","Inconclusive",IF(AND(OR(R36="User",R36="Mixed"),J36&lt;&gt;""),IF(R36="Mixed","Mixed Reply","Verified User Reply"),"No Verified User Reply"))</x:f>
        <x:v>No Verified User Reply</x:v>
      </x:c>
      <x:c r="U36" s="32" t="str">
        <x:v>BATCH-VERIFY-24H</x:v>
      </x:c>
      <x:c r="V36" s="32" t="str">
        <x:f>D36&amp;"|"&amp;S36</x:f>
        <x:v>IC-0016|24h</x:v>
      </x:c>
      <x:c r="W36" s="32" t="str">
        <x:f>I36</x:f>
        <x:v>Missing</x:v>
      </x:c>
      <x:c r="X36" s="32" t="str">
        <x:f>R36</x:f>
        <x:v>None</x:v>
      </x:c>
      <x:c r="Y36" s="33" t="str">
        <x:f>T36</x:f>
        <x:v>No Verified User Reply</x:v>
      </x:c>
    </x:row>
    <x:row r="37">
      <x:c r="A37" s="49" t="n">
        <x:v>46224</x:v>
      </x:c>
      <x:c r="B37" s="32" t="str">
        <x:v>12:30</x:v>
      </x:c>
      <x:c r="C37" s="52" t="n">
        <x:v>46224</x:v>
      </x:c>
      <x:c r="D37" s="32" t="str">
        <x:v>IC-0017</x:v>
      </x:c>
      <x:c r="E37" s="32" t="str">
        <x:v>Account Slot 7</x:v>
      </x:c>
      <x:c r="F37" s="32" t="str">
        <x:v>https://video.invalid/case/V0017</x:v>
      </x:c>
      <x:c r="G37" s="32" t="str">
        <x:v>creator_case_017</x:v>
      </x:c>
      <x:c r="H37" s="32" t="str">
        <x:v>Pending</x:v>
      </x:c>
      <x:c r="I37" s="32" t="str">
        <x:v>Visible</x:v>
      </x:c>
      <x:c r="J37" s="32" t="str">
        <x:v>EVD-SYN-0017-30M</x:v>
      </x:c>
      <x:c r="K37" s="32" t="str">
        <x:v>30m verification</x:v>
      </x:c>
      <x:c r="L37" s="32" t="str">
        <x:v>None</x:v>
      </x:c>
      <x:c r="M37" s="32" t="str">
        <x:v>Pass</x:v>
      </x:c>
      <x:c r="N37" s="32" t="str">
        <x:v>ภาพรวมของ office look นี้ดูตั้งใจแบบไม่เยอะเกินไปค่ะ ดีเทลกระดุมดอกไม้ตรงคอและปลายแขนแบบในรูปช่วยให้เสื้อเรียบดูมีเรื่องราวขึ้นเลย</x:v>
      </x:c>
      <x:c r="O37" s="32" t="str">
        <x:v>ภาพรวมของ office look นี้ดูตั้งใจแบบไม่เยอะเกินไปค่ะ ดีเทลกระดุมดอกไม้ตรงคอและปลายแขนแบบในรูปช่วยให้เสื้อเรียบดูมีเรื่องราวขึ้นเลย</x:v>
      </x:c>
      <x:c r="P37" s="32" t="n">
        <x:v>0</x:v>
      </x:c>
      <x:c r="Q37" s="32" t="str"/>
      <x:c r="R37" s="32" t="str">
        <x:v>None</x:v>
      </x:c>
      <x:c r="S37" s="32" t="str">
        <x:v>30m</x:v>
      </x:c>
      <x:c r="T37" s="32" t="str">
        <x:f>IF(I37="Inconclusive","Inconclusive",IF(AND(OR(R37="User",R37="Mixed"),J37&lt;&gt;""),IF(R37="Mixed","Mixed Reply","Verified User Reply"),"No Verified User Reply"))</x:f>
        <x:v>No Verified User Reply</x:v>
      </x:c>
      <x:c r="U37" s="32" t="str">
        <x:v>BATCH-VERIFY-30M</x:v>
      </x:c>
      <x:c r="V37" s="32" t="str">
        <x:f>D37&amp;"|"&amp;S37</x:f>
        <x:v>IC-0017|30m</x:v>
      </x:c>
      <x:c r="W37" s="32" t="str">
        <x:f>I37</x:f>
        <x:v>Visible</x:v>
      </x:c>
      <x:c r="X37" s="32" t="str">
        <x:f>R37</x:f>
        <x:v>None</x:v>
      </x:c>
      <x:c r="Y37" s="33" t="str">
        <x:f>T37</x:f>
        <x:v>No Verified User Reply</x:v>
      </x:c>
    </x:row>
    <x:row r="38">
      <x:c r="A38" s="49" t="n">
        <x:v>46225</x:v>
      </x:c>
      <x:c r="B38" s="32" t="str">
        <x:v>12:00</x:v>
      </x:c>
      <x:c r="C38" s="52" t="n">
        <x:v>46224</x:v>
      </x:c>
      <x:c r="D38" s="32" t="str">
        <x:v>IC-0017</x:v>
      </x:c>
      <x:c r="E38" s="32" t="str">
        <x:v>Account Slot 7</x:v>
      </x:c>
      <x:c r="F38" s="32" t="str">
        <x:v>https://video.invalid/case/V0017</x:v>
      </x:c>
      <x:c r="G38" s="32" t="str">
        <x:v>creator_case_017</x:v>
      </x:c>
      <x:c r="H38" s="32" t="str">
        <x:v>Pending</x:v>
      </x:c>
      <x:c r="I38" s="32" t="str">
        <x:v>Visible</x:v>
      </x:c>
      <x:c r="J38" s="32" t="str">
        <x:v>EVD-SYN-0017-24H</x:v>
      </x:c>
      <x:c r="K38" s="32" t="str">
        <x:v>24h verification</x:v>
      </x:c>
      <x:c r="L38" s="32" t="str">
        <x:v>None</x:v>
      </x:c>
      <x:c r="M38" s="32" t="str">
        <x:v>Pass</x:v>
      </x:c>
      <x:c r="N38" s="32" t="str">
        <x:v>ภาพรวมของ office look นี้ดูตั้งใจแบบไม่เยอะเกินไปค่ะ ดีเทลกระดุมดอกไม้ตรงคอและปลายแขนแบบในรูปช่วยให้เสื้อเรียบดูมีเรื่องราวขึ้นเลย</x:v>
      </x:c>
      <x:c r="O38" s="32" t="str">
        <x:v>ภาพรวมของ office look นี้ดูตั้งใจแบบไม่เยอะเกินไปค่ะ ดีเทลกระดุมดอกไม้ตรงคอและปลายแขนแบบในรูปช่วยให้เสื้อเรียบดูมีเรื่องราวขึ้นเลย</x:v>
      </x:c>
      <x:c r="P38" s="32" t="n">
        <x:v>0</x:v>
      </x:c>
      <x:c r="Q38" s="32" t="str"/>
      <x:c r="R38" s="32" t="str">
        <x:v>None</x:v>
      </x:c>
      <x:c r="S38" s="32" t="str">
        <x:v>24h</x:v>
      </x:c>
      <x:c r="T38" s="32" t="str">
        <x:f>IF(I38="Inconclusive","Inconclusive",IF(AND(OR(R38="User",R38="Mixed"),J38&lt;&gt;""),IF(R38="Mixed","Mixed Reply","Verified User Reply"),"No Verified User Reply"))</x:f>
        <x:v>No Verified User Reply</x:v>
      </x:c>
      <x:c r="U38" s="32" t="str">
        <x:v>BATCH-VERIFY-24H</x:v>
      </x:c>
      <x:c r="V38" s="32" t="str">
        <x:f>D38&amp;"|"&amp;S38</x:f>
        <x:v>IC-0017|24h</x:v>
      </x:c>
      <x:c r="W38" s="32" t="str">
        <x:f>I38</x:f>
        <x:v>Visible</x:v>
      </x:c>
      <x:c r="X38" s="32" t="str">
        <x:f>R38</x:f>
        <x:v>None</x:v>
      </x:c>
      <x:c r="Y38" s="33" t="str">
        <x:f>T38</x:f>
        <x:v>No Verified User Reply</x:v>
      </x:c>
    </x:row>
    <x:row r="39">
      <x:c r="A39" s="49" t="n">
        <x:v>46224</x:v>
      </x:c>
      <x:c r="B39" s="32" t="str">
        <x:v>12:30</x:v>
      </x:c>
      <x:c r="C39" s="52" t="n">
        <x:v>46224</x:v>
      </x:c>
      <x:c r="D39" s="32" t="str">
        <x:v>IC-0018</x:v>
      </x:c>
      <x:c r="E39" s="32" t="str">
        <x:v>Account Slot 8</x:v>
      </x:c>
      <x:c r="F39" s="32" t="str">
        <x:v>https://video.invalid/case/V0018</x:v>
      </x:c>
      <x:c r="G39" s="32" t="str">
        <x:v>creator_case_018</x:v>
      </x:c>
      <x:c r="H39" s="32" t="str">
        <x:v>Pending</x:v>
      </x:c>
      <x:c r="I39" s="32" t="str">
        <x:v>Visible</x:v>
      </x:c>
      <x:c r="J39" s="32" t="str">
        <x:v>EVD-SYN-0018-30M</x:v>
      </x:c>
      <x:c r="K39" s="32" t="str">
        <x:v>30m verification</x:v>
      </x:c>
      <x:c r="L39" s="32" t="str">
        <x:v>None</x:v>
      </x:c>
      <x:c r="M39" s="32" t="str">
        <x:v>Pass</x:v>
      </x:c>
      <x:c r="N39" s="32" t="str">
        <x:v>เสื้อเรียบแบบนี้เป็นเบสที่แต่งสนุกมากค่ะ ถ้าเล่นลูกเล่นกระดุมดอกไม้เล็ก ๆ แบบในรูป ช่วงบนของลุคน่าจะเด่นขึ้นพอดีค่ะ</x:v>
      </x:c>
      <x:c r="O39" s="32" t="str">
        <x:v>เสื้อเรียบแบบนี้เป็นเบสที่แต่งสนุกมากค่ะ ถ้าเล่นลูกเล่นกระดุมดอกไม้เล็ก ๆ แบบในรูป ช่วงบนของลุคน่าจะเด่นขึ้นพอดีค่ะ</x:v>
      </x:c>
      <x:c r="P39" s="32" t="n">
        <x:v>0</x:v>
      </x:c>
      <x:c r="Q39" s="32" t="str"/>
      <x:c r="R39" s="32" t="str">
        <x:v>None</x:v>
      </x:c>
      <x:c r="S39" s="32" t="str">
        <x:v>30m</x:v>
      </x:c>
      <x:c r="T39" s="32" t="str">
        <x:f>IF(I39="Inconclusive","Inconclusive",IF(AND(OR(R39="User",R39="Mixed"),J39&lt;&gt;""),IF(R39="Mixed","Mixed Reply","Verified User Reply"),"No Verified User Reply"))</x:f>
        <x:v>No Verified User Reply</x:v>
      </x:c>
      <x:c r="U39" s="32" t="str">
        <x:v>BATCH-VERIFY-30M</x:v>
      </x:c>
      <x:c r="V39" s="32" t="str">
        <x:f>D39&amp;"|"&amp;S39</x:f>
        <x:v>IC-0018|30m</x:v>
      </x:c>
      <x:c r="W39" s="32" t="str">
        <x:f>I39</x:f>
        <x:v>Visible</x:v>
      </x:c>
      <x:c r="X39" s="32" t="str">
        <x:f>R39</x:f>
        <x:v>None</x:v>
      </x:c>
      <x:c r="Y39" s="33" t="str">
        <x:f>T39</x:f>
        <x:v>No Verified User Reply</x:v>
      </x:c>
    </x:row>
    <x:row r="40">
      <x:c r="A40" s="49" t="n">
        <x:v>46225</x:v>
      </x:c>
      <x:c r="B40" s="32" t="str">
        <x:v>12:00</x:v>
      </x:c>
      <x:c r="C40" s="52" t="n">
        <x:v>46224</x:v>
      </x:c>
      <x:c r="D40" s="32" t="str">
        <x:v>IC-0018</x:v>
      </x:c>
      <x:c r="E40" s="32" t="str">
        <x:v>Account Slot 8</x:v>
      </x:c>
      <x:c r="F40" s="32" t="str">
        <x:v>https://video.invalid/case/V0018</x:v>
      </x:c>
      <x:c r="G40" s="32" t="str">
        <x:v>creator_case_018</x:v>
      </x:c>
      <x:c r="H40" s="32" t="str">
        <x:v>Pending</x:v>
      </x:c>
      <x:c r="I40" s="32" t="str">
        <x:v>Visible</x:v>
      </x:c>
      <x:c r="J40" s="32" t="str">
        <x:v>EVD-SYN-0018-24H</x:v>
      </x:c>
      <x:c r="K40" s="32" t="str">
        <x:v>24h verification</x:v>
      </x:c>
      <x:c r="L40" s="32" t="str">
        <x:v>None</x:v>
      </x:c>
      <x:c r="M40" s="32" t="str">
        <x:v>Pass</x:v>
      </x:c>
      <x:c r="N40" s="32" t="str">
        <x:v>เสื้อเรียบแบบนี้เป็นเบสที่แต่งสนุกมากค่ะ ถ้าเล่นลูกเล่นกระดุมดอกไม้เล็ก ๆ แบบในรูป ช่วงบนของลุคน่าจะเด่นขึ้นพอดีค่ะ</x:v>
      </x:c>
      <x:c r="O40" s="32" t="str">
        <x:v>เสื้อเรียบแบบนี้เป็นเบสที่แต่งสนุกมากค่ะ ถ้าเล่นลูกเล่นกระดุมดอกไม้เล็ก ๆ แบบในรูป ช่วงบนของลุคน่าจะเด่นขึ้นพอดีค่ะ</x:v>
      </x:c>
      <x:c r="P40" s="32" t="n">
        <x:v>0</x:v>
      </x:c>
      <x:c r="Q40" s="32" t="str"/>
      <x:c r="R40" s="32" t="str">
        <x:v>None</x:v>
      </x:c>
      <x:c r="S40" s="32" t="str">
        <x:v>24h</x:v>
      </x:c>
      <x:c r="T40" s="32" t="str">
        <x:f>IF(I40="Inconclusive","Inconclusive",IF(AND(OR(R40="User",R40="Mixed"),J40&lt;&gt;""),IF(R40="Mixed","Mixed Reply","Verified User Reply"),"No Verified User Reply"))</x:f>
        <x:v>No Verified User Reply</x:v>
      </x:c>
      <x:c r="U40" s="32" t="str">
        <x:v>BATCH-VERIFY-24H</x:v>
      </x:c>
      <x:c r="V40" s="32" t="str">
        <x:f>D40&amp;"|"&amp;S40</x:f>
        <x:v>IC-0018|24h</x:v>
      </x:c>
      <x:c r="W40" s="32" t="str">
        <x:f>I40</x:f>
        <x:v>Visible</x:v>
      </x:c>
      <x:c r="X40" s="32" t="str">
        <x:f>R40</x:f>
        <x:v>None</x:v>
      </x:c>
      <x:c r="Y40" s="33" t="str">
        <x:f>T40</x:f>
        <x:v>No Verified User Reply</x:v>
      </x:c>
    </x:row>
    <x:row r="41">
      <x:c r="A41" s="49" t="n">
        <x:v>46224</x:v>
      </x:c>
      <x:c r="B41" s="32" t="str">
        <x:v>12:30</x:v>
      </x:c>
      <x:c r="C41" s="52" t="n">
        <x:v>46224</x:v>
      </x:c>
      <x:c r="D41" s="32" t="str">
        <x:v>IC-0019</x:v>
      </x:c>
      <x:c r="E41" s="32" t="str">
        <x:v>Account Slot 9</x:v>
      </x:c>
      <x:c r="F41" s="32" t="str">
        <x:v>https://video.invalid/case/V0019</x:v>
      </x:c>
      <x:c r="G41" s="32" t="str">
        <x:v>creator_case_019</x:v>
      </x:c>
      <x:c r="H41" s="32" t="str">
        <x:v>Pending</x:v>
      </x:c>
      <x:c r="I41" s="32" t="str">
        <x:v>Missing</x:v>
      </x:c>
      <x:c r="J41" s="32" t="str">
        <x:v>EVD-SYN-0019-30M</x:v>
      </x:c>
      <x:c r="K41" s="32" t="str">
        <x:v>30m verification</x:v>
      </x:c>
      <x:c r="L41" s="32" t="str">
        <x:v>None</x:v>
      </x:c>
      <x:c r="M41" s="32" t="str">
        <x:v>Pass</x:v>
      </x:c>
      <x:c r="N41" s="32" t="str">
        <x:v>เสื้อทรงนี้ดูง่ายแต่พอแมตช์แล้วภาพรวมมีสไตล์มากค่ะ ตัวครอบกระดุมโทนมุกแบบในรูปเข้ากับลุคคลีนและไม่ทำให้ชุดดูแน่นเกินไป</x:v>
      </x:c>
      <x:c r="O41" s="32"/>
      <x:c r="P41" s="32" t="n">
        <x:v>0</x:v>
      </x:c>
      <x:c r="Q41" s="32" t="str"/>
      <x:c r="R41" s="32" t="str">
        <x:v>None</x:v>
      </x:c>
      <x:c r="S41" s="32" t="str">
        <x:v>30m</x:v>
      </x:c>
      <x:c r="T41" s="32" t="str">
        <x:f>IF(I41="Inconclusive","Inconclusive",IF(AND(OR(R41="User",R41="Mixed"),J41&lt;&gt;""),IF(R41="Mixed","Mixed Reply","Verified User Reply"),"No Verified User Reply"))</x:f>
        <x:v>No Verified User Reply</x:v>
      </x:c>
      <x:c r="U41" s="32" t="str">
        <x:v>BATCH-VERIFY-30M</x:v>
      </x:c>
      <x:c r="V41" s="32" t="str">
        <x:f>D41&amp;"|"&amp;S41</x:f>
        <x:v>IC-0019|30m</x:v>
      </x:c>
      <x:c r="W41" s="32" t="str">
        <x:f>I41</x:f>
        <x:v>Missing</x:v>
      </x:c>
      <x:c r="X41" s="32" t="str">
        <x:f>R41</x:f>
        <x:v>None</x:v>
      </x:c>
      <x:c r="Y41" s="33" t="str">
        <x:f>T41</x:f>
        <x:v>No Verified User Reply</x:v>
      </x:c>
    </x:row>
    <x:row r="42">
      <x:c r="A42" s="49" t="n">
        <x:v>46225</x:v>
      </x:c>
      <x:c r="B42" s="32" t="str">
        <x:v>12:00</x:v>
      </x:c>
      <x:c r="C42" s="52" t="n">
        <x:v>46224</x:v>
      </x:c>
      <x:c r="D42" s="32" t="str">
        <x:v>IC-0019</x:v>
      </x:c>
      <x:c r="E42" s="32" t="str">
        <x:v>Account Slot 9</x:v>
      </x:c>
      <x:c r="F42" s="32" t="str">
        <x:v>https://video.invalid/case/V0019</x:v>
      </x:c>
      <x:c r="G42" s="32" t="str">
        <x:v>creator_case_019</x:v>
      </x:c>
      <x:c r="H42" s="32" t="str">
        <x:v>Pending</x:v>
      </x:c>
      <x:c r="I42" s="32" t="str">
        <x:v>Visible</x:v>
      </x:c>
      <x:c r="J42" s="32" t="str">
        <x:v>EVD-SYN-0019-24H</x:v>
      </x:c>
      <x:c r="K42" s="32" t="str">
        <x:v>24h verification</x:v>
      </x:c>
      <x:c r="L42" s="32" t="str">
        <x:v>None</x:v>
      </x:c>
      <x:c r="M42" s="32" t="str">
        <x:v>Pass</x:v>
      </x:c>
      <x:c r="N42" s="32" t="str">
        <x:v>เสื้อทรงนี้ดูง่ายแต่พอแมตช์แล้วภาพรวมมีสไตล์มากค่ะ ตัวครอบกระดุมโทนมุกแบบในรูปเข้ากับลุคคลีนและไม่ทำให้ชุดดูแน่นเกินไป</x:v>
      </x:c>
      <x:c r="O42" s="32" t="str">
        <x:v>เสื้อทรงนี้ดูง่ายแต่พอแมตช์แล้วภาพรวมมีสไตล์มากค่ะ ตัวครอบกระดุมโทนมุกแบบในรูปเข้ากับลุคคลีนและไม่ทำให้ชุดดูแน่นเกินไป</x:v>
      </x:c>
      <x:c r="P42" s="32" t="n">
        <x:v>0</x:v>
      </x:c>
      <x:c r="Q42" s="32" t="str"/>
      <x:c r="R42" s="32" t="str">
        <x:v>None</x:v>
      </x:c>
      <x:c r="S42" s="32" t="str">
        <x:v>24h</x:v>
      </x:c>
      <x:c r="T42" s="32" t="str">
        <x:f>IF(I42="Inconclusive","Inconclusive",IF(AND(OR(R42="User",R42="Mixed"),J42&lt;&gt;""),IF(R42="Mixed","Mixed Reply","Verified User Reply"),"No Verified User Reply"))</x:f>
        <x:v>No Verified User Reply</x:v>
      </x:c>
      <x:c r="U42" s="32" t="str">
        <x:v>BATCH-VERIFY-24H</x:v>
      </x:c>
      <x:c r="V42" s="32" t="str">
        <x:f>D42&amp;"|"&amp;S42</x:f>
        <x:v>IC-0019|24h</x:v>
      </x:c>
      <x:c r="W42" s="32" t="str">
        <x:f>I42</x:f>
        <x:v>Visible</x:v>
      </x:c>
      <x:c r="X42" s="32" t="str">
        <x:f>R42</x:f>
        <x:v>None</x:v>
      </x:c>
      <x:c r="Y42" s="33" t="str">
        <x:f>T42</x:f>
        <x:v>No Verified User Reply</x:v>
      </x:c>
    </x:row>
    <x:row r="43">
      <x:c r="A43" s="49" t="n">
        <x:v>46224</x:v>
      </x:c>
      <x:c r="B43" s="32" t="str">
        <x:v>12:30</x:v>
      </x:c>
      <x:c r="C43" s="52" t="n">
        <x:v>46224</x:v>
      </x:c>
      <x:c r="D43" s="32" t="str">
        <x:v>IC-0020</x:v>
      </x:c>
      <x:c r="E43" s="32" t="str">
        <x:v>Account Slot 10</x:v>
      </x:c>
      <x:c r="F43" s="32" t="str">
        <x:v>https://video.invalid/case/V0020</x:v>
      </x:c>
      <x:c r="G43" s="32" t="str">
        <x:v>creator_case_020</x:v>
      </x:c>
      <x:c r="H43" s="32" t="str">
        <x:v>Pending</x:v>
      </x:c>
      <x:c r="I43" s="32" t="str">
        <x:v>Visible</x:v>
      </x:c>
      <x:c r="J43" s="32" t="str">
        <x:v>EVD-SYN-0020-30M</x:v>
      </x:c>
      <x:c r="K43" s="32" t="str">
        <x:v>30m verification</x:v>
      </x:c>
      <x:c r="L43" s="32" t="str">
        <x:v>None</x:v>
      </x:c>
      <x:c r="M43" s="32" t="str">
        <x:v>Pass</x:v>
      </x:c>
      <x:c r="N43" s="32" t="str">
        <x:v>เสื้อคลุมทรงนี้ช่วยให้ชุดดูนุ่มนวลขึ้นพอดีเลย ถ้าเล่นลูกเล่นกระดุมดอกไม้เล็ก ๆ แบบในรูป ช่วงบนของลุคน่าจะเด่นขึ้นพอดีค่ะ</x:v>
      </x:c>
      <x:c r="O43" s="32" t="str">
        <x:v>เสื้อคลุมทรงนี้ช่วยให้ชุดดูนุ่มนวลขึ้นพอดีเลย ถ้าเล่นลูกเล่นกระดุมดอกไม้เล็ก ๆ แบบในรูป ช่วงบนของลุคน่าจะเด่นขึ้นพอดีค่ะ</x:v>
      </x:c>
      <x:c r="P43" s="32" t="n">
        <x:v>0</x:v>
      </x:c>
      <x:c r="Q43" s="32" t="str"/>
      <x:c r="R43" s="32" t="str">
        <x:v>None</x:v>
      </x:c>
      <x:c r="S43" s="32" t="str">
        <x:v>30m</x:v>
      </x:c>
      <x:c r="T43" s="32" t="str">
        <x:f>IF(I43="Inconclusive","Inconclusive",IF(AND(OR(R43="User",R43="Mixed"),J43&lt;&gt;""),IF(R43="Mixed","Mixed Reply","Verified User Reply"),"No Verified User Reply"))</x:f>
        <x:v>No Verified User Reply</x:v>
      </x:c>
      <x:c r="U43" s="32" t="str">
        <x:v>BATCH-VERIFY-30M</x:v>
      </x:c>
      <x:c r="V43" s="32" t="str">
        <x:f>D43&amp;"|"&amp;S43</x:f>
        <x:v>IC-0020|30m</x:v>
      </x:c>
      <x:c r="W43" s="32" t="str">
        <x:f>I43</x:f>
        <x:v>Visible</x:v>
      </x:c>
      <x:c r="X43" s="32" t="str">
        <x:f>R43</x:f>
        <x:v>None</x:v>
      </x:c>
      <x:c r="Y43" s="33" t="str">
        <x:f>T43</x:f>
        <x:v>No Verified User Reply</x:v>
      </x:c>
    </x:row>
    <x:row r="44">
      <x:c r="A44" s="49" t="n">
        <x:v>46225</x:v>
      </x:c>
      <x:c r="B44" s="32" t="str">
        <x:v>12:00</x:v>
      </x:c>
      <x:c r="C44" s="52" t="n">
        <x:v>46224</x:v>
      </x:c>
      <x:c r="D44" s="32" t="str">
        <x:v>IC-0020</x:v>
      </x:c>
      <x:c r="E44" s="32" t="str">
        <x:v>Account Slot 10</x:v>
      </x:c>
      <x:c r="F44" s="32" t="str">
        <x:v>https://video.invalid/case/V0020</x:v>
      </x:c>
      <x:c r="G44" s="32" t="str">
        <x:v>creator_case_020</x:v>
      </x:c>
      <x:c r="H44" s="32" t="str">
        <x:v>Pending</x:v>
      </x:c>
      <x:c r="I44" s="32" t="str">
        <x:v>Visible</x:v>
      </x:c>
      <x:c r="J44" s="32" t="str">
        <x:v>EVD-SYN-0020-24H</x:v>
      </x:c>
      <x:c r="K44" s="32" t="str">
        <x:v>24h verification</x:v>
      </x:c>
      <x:c r="L44" s="32" t="str">
        <x:v>None</x:v>
      </x:c>
      <x:c r="M44" s="32" t="str">
        <x:v>Pass</x:v>
      </x:c>
      <x:c r="N44" s="32" t="str">
        <x:v>เสื้อคลุมทรงนี้ช่วยให้ชุดดูนุ่มนวลขึ้นพอดีเลย ถ้าเล่นลูกเล่นกระดุมดอกไม้เล็ก ๆ แบบในรูป ช่วงบนของลุคน่าจะเด่นขึ้นพอดีค่ะ</x:v>
      </x:c>
      <x:c r="O44" s="32" t="str">
        <x:v>เสื้อคลุมทรงนี้ช่วยให้ชุดดูนุ่มนวลขึ้นพอดีเลย ถ้าเล่นลูกเล่นกระดุมดอกไม้เล็ก ๆ แบบในรูป ช่วงบนของลุคน่าจะเด่นขึ้นพอดีค่ะ</x:v>
      </x:c>
      <x:c r="P44" s="32" t="n">
        <x:v>0</x:v>
      </x:c>
      <x:c r="Q44" s="32" t="str"/>
      <x:c r="R44" s="32" t="str">
        <x:v>None</x:v>
      </x:c>
      <x:c r="S44" s="32" t="str">
        <x:v>24h</x:v>
      </x:c>
      <x:c r="T44" s="32" t="str">
        <x:f>IF(I44="Inconclusive","Inconclusive",IF(AND(OR(R44="User",R44="Mixed"),J44&lt;&gt;""),IF(R44="Mixed","Mixed Reply","Verified User Reply"),"No Verified User Reply"))</x:f>
        <x:v>No Verified User Reply</x:v>
      </x:c>
      <x:c r="U44" s="32" t="str">
        <x:v>BATCH-VERIFY-24H</x:v>
      </x:c>
      <x:c r="V44" s="32" t="str">
        <x:f>D44&amp;"|"&amp;S44</x:f>
        <x:v>IC-0020|24h</x:v>
      </x:c>
      <x:c r="W44" s="32" t="str">
        <x:f>I44</x:f>
        <x:v>Visible</x:v>
      </x:c>
      <x:c r="X44" s="32" t="str">
        <x:f>R44</x:f>
        <x:v>None</x:v>
      </x:c>
      <x:c r="Y44" s="33" t="str">
        <x:f>T44</x:f>
        <x:v>No Verified User Reply</x:v>
      </x:c>
    </x:row>
    <x:row r="45">
      <x:c r="A45" s="49" t="n">
        <x:v>46224</x:v>
      </x:c>
      <x:c r="B45" s="32" t="str">
        <x:v>12:30</x:v>
      </x:c>
      <x:c r="C45" s="52" t="n">
        <x:v>46224</x:v>
      </x:c>
      <x:c r="D45" s="32" t="str">
        <x:v>IC-0021</x:v>
      </x:c>
      <x:c r="E45" s="32" t="str">
        <x:v>Account Slot 1</x:v>
      </x:c>
      <x:c r="F45" s="32" t="str">
        <x:v>https://video.invalid/case/V0021</x:v>
      </x:c>
      <x:c r="G45" s="32" t="str">
        <x:v>creator_case_021</x:v>
      </x:c>
      <x:c r="H45" s="32" t="str">
        <x:v>Pending</x:v>
      </x:c>
      <x:c r="I45" s="32" t="str">
        <x:v>Visible</x:v>
      </x:c>
      <x:c r="J45" s="32" t="str">
        <x:v>EVD-SYN-0021-30M</x:v>
      </x:c>
      <x:c r="K45" s="32" t="str">
        <x:v>30m verification</x:v>
      </x:c>
      <x:c r="L45" s="32" t="str">
        <x:v>None</x:v>
      </x:c>
      <x:c r="M45" s="32" t="str">
        <x:v>Pass</x:v>
      </x:c>
      <x:c r="N45" s="32" t="str">
        <x:v>เสื้อเรียบแบบนี้เป็นเบสที่แต่งสนุกมากค่ะ ลูกเล่นตรงแนวกระดุมแบบในรูปเพิ่มความหวานให้ลุคโดยยังดูสุภาพอยู่ค่ะ</x:v>
      </x:c>
      <x:c r="O45" s="32" t="str">
        <x:v>เสื้อเรียบแบบนี้เป็นเบสที่แต่งสนุกมากค่ะ ลูกเล่นตรงแนวกระดุมแบบในรูปเพิ่มความหวานให้ลุคโดยยังดูสุภาพอยู่ค่ะ</x:v>
      </x:c>
      <x:c r="P45" s="32" t="n">
        <x:v>0</x:v>
      </x:c>
      <x:c r="Q45" s="32" t="str"/>
      <x:c r="R45" s="32" t="str">
        <x:v>None</x:v>
      </x:c>
      <x:c r="S45" s="32" t="str">
        <x:v>30m</x:v>
      </x:c>
      <x:c r="T45" s="32" t="str">
        <x:f>IF(I45="Inconclusive","Inconclusive",IF(AND(OR(R45="User",R45="Mixed"),J45&lt;&gt;""),IF(R45="Mixed","Mixed Reply","Verified User Reply"),"No Verified User Reply"))</x:f>
        <x:v>No Verified User Reply</x:v>
      </x:c>
      <x:c r="U45" s="32" t="str">
        <x:v>BATCH-VERIFY-30M</x:v>
      </x:c>
      <x:c r="V45" s="32" t="str">
        <x:f>D45&amp;"|"&amp;S45</x:f>
        <x:v>IC-0021|30m</x:v>
      </x:c>
      <x:c r="W45" s="32" t="str">
        <x:f>I45</x:f>
        <x:v>Visible</x:v>
      </x:c>
      <x:c r="X45" s="32" t="str">
        <x:f>R45</x:f>
        <x:v>None</x:v>
      </x:c>
      <x:c r="Y45" s="33" t="str">
        <x:f>T45</x:f>
        <x:v>No Verified User Reply</x:v>
      </x:c>
    </x:row>
    <x:row r="46">
      <x:c r="A46" s="49" t="n">
        <x:v>46225</x:v>
      </x:c>
      <x:c r="B46" s="32" t="str">
        <x:v>12:00</x:v>
      </x:c>
      <x:c r="C46" s="52" t="n">
        <x:v>46224</x:v>
      </x:c>
      <x:c r="D46" s="32" t="str">
        <x:v>IC-0021</x:v>
      </x:c>
      <x:c r="E46" s="32" t="str">
        <x:v>Account Slot 1</x:v>
      </x:c>
      <x:c r="F46" s="32" t="str">
        <x:v>https://video.invalid/case/V0021</x:v>
      </x:c>
      <x:c r="G46" s="32" t="str">
        <x:v>creator_case_021</x:v>
      </x:c>
      <x:c r="H46" s="32" t="str">
        <x:v>Pending</x:v>
      </x:c>
      <x:c r="I46" s="32" t="str">
        <x:v>Missing</x:v>
      </x:c>
      <x:c r="J46" s="32" t="str">
        <x:v>EVD-SYN-0021-24H</x:v>
      </x:c>
      <x:c r="K46" s="32" t="str">
        <x:v>24h verification</x:v>
      </x:c>
      <x:c r="L46" s="32" t="str">
        <x:v>None</x:v>
      </x:c>
      <x:c r="M46" s="32" t="str">
        <x:v>Pass</x:v>
      </x:c>
      <x:c r="N46" s="32" t="str">
        <x:v>เสื้อเรียบแบบนี้เป็นเบสที่แต่งสนุกมากค่ะ ลูกเล่นตรงแนวกระดุมแบบในรูปเพิ่มความหวานให้ลุคโดยยังดูสุภาพอยู่ค่ะ</x:v>
      </x:c>
      <x:c r="O46" s="32"/>
      <x:c r="P46" s="32" t="n">
        <x:v>0</x:v>
      </x:c>
      <x:c r="Q46" s="32" t="str"/>
      <x:c r="R46" s="32" t="str">
        <x:v>None</x:v>
      </x:c>
      <x:c r="S46" s="32" t="str">
        <x:v>24h</x:v>
      </x:c>
      <x:c r="T46" s="32" t="str">
        <x:f>IF(I46="Inconclusive","Inconclusive",IF(AND(OR(R46="User",R46="Mixed"),J46&lt;&gt;""),IF(R46="Mixed","Mixed Reply","Verified User Reply"),"No Verified User Reply"))</x:f>
        <x:v>No Verified User Reply</x:v>
      </x:c>
      <x:c r="U46" s="32" t="str">
        <x:v>BATCH-VERIFY-24H</x:v>
      </x:c>
      <x:c r="V46" s="32" t="str">
        <x:f>D46&amp;"|"&amp;S46</x:f>
        <x:v>IC-0021|24h</x:v>
      </x:c>
      <x:c r="W46" s="32" t="str">
        <x:f>I46</x:f>
        <x:v>Missing</x:v>
      </x:c>
      <x:c r="X46" s="32" t="str">
        <x:f>R46</x:f>
        <x:v>None</x:v>
      </x:c>
      <x:c r="Y46" s="33" t="str">
        <x:f>T46</x:f>
        <x:v>No Verified User Reply</x:v>
      </x:c>
    </x:row>
    <x:row r="47">
      <x:c r="A47" s="49" t="n">
        <x:v>46224</x:v>
      </x:c>
      <x:c r="B47" s="32" t="str">
        <x:v>12:30</x:v>
      </x:c>
      <x:c r="C47" s="52" t="n">
        <x:v>46224</x:v>
      </x:c>
      <x:c r="D47" s="32" t="str">
        <x:v>IC-0022</x:v>
      </x:c>
      <x:c r="E47" s="32" t="str">
        <x:v>Account Slot 2</x:v>
      </x:c>
      <x:c r="F47" s="32" t="str">
        <x:v>https://video.invalid/case/V0022</x:v>
      </x:c>
      <x:c r="G47" s="32" t="str">
        <x:v>creator_case_022</x:v>
      </x:c>
      <x:c r="H47" s="32" t="str">
        <x:v>Pending</x:v>
      </x:c>
      <x:c r="I47" s="32" t="str">
        <x:v>Visible</x:v>
      </x:c>
      <x:c r="J47" s="32" t="str">
        <x:v>EVD-SYN-0022-30M</x:v>
      </x:c>
      <x:c r="K47" s="32" t="str">
        <x:v>30m verification</x:v>
      </x:c>
      <x:c r="L47" s="32" t="str">
        <x:v>None</x:v>
      </x:c>
      <x:c r="M47" s="32" t="str">
        <x:v>Pass</x:v>
      </x:c>
      <x:c r="N47" s="32" t="str">
        <x:v>ชอบการแมตช์สูทที่ดูสุภาพแต่ยังมีความแฟชั่นอยู่ค่ะ blazer ทรงนี้ถ้ามีจุดเด่นเล็กแบบในรูป น่าจะดูตั้งใจและจำง่ายขึ้นมากค่ะ</x:v>
      </x:c>
      <x:c r="O47" s="32" t="str">
        <x:v>ชอบการแมตช์สูทที่ดูสุภาพแต่ยังมีความแฟชั่นอยู่ค่ะ blazer ทรงนี้ถ้ามีจุดเด่นเล็กแบบในรูป น่าจะดูตั้งใจและจำง่ายขึ้นมากค่ะ</x:v>
      </x:c>
      <x:c r="P47" s="32" t="n">
        <x:v>1</x:v>
      </x:c>
      <x:c r="Q47" s="32" t="str">
        <x:v>Synthetic reply preview</x:v>
      </x:c>
      <x:c r="R47" s="32" t="str">
        <x:v>User</x:v>
      </x:c>
      <x:c r="S47" s="32" t="str">
        <x:v>30m</x:v>
      </x:c>
      <x:c r="T47" s="32" t="str">
        <x:f>IF(I47="Inconclusive","Inconclusive",IF(AND(OR(R47="User",R47="Mixed"),J47&lt;&gt;""),IF(R47="Mixed","Mixed Reply","Verified User Reply"),"No Verified User Reply"))</x:f>
        <x:v>Verified User Reply</x:v>
      </x:c>
      <x:c r="U47" s="32" t="str">
        <x:v>BATCH-VERIFY-30M</x:v>
      </x:c>
      <x:c r="V47" s="32" t="str">
        <x:f>D47&amp;"|"&amp;S47</x:f>
        <x:v>IC-0022|30m</x:v>
      </x:c>
      <x:c r="W47" s="32" t="str">
        <x:f>I47</x:f>
        <x:v>Visible</x:v>
      </x:c>
      <x:c r="X47" s="32" t="str">
        <x:f>R47</x:f>
        <x:v>User</x:v>
      </x:c>
      <x:c r="Y47" s="33" t="str">
        <x:f>T47</x:f>
        <x:v>Verified User Reply</x:v>
      </x:c>
    </x:row>
    <x:row r="48">
      <x:c r="A48" s="49" t="n">
        <x:v>46225</x:v>
      </x:c>
      <x:c r="B48" s="32" t="str">
        <x:v>12:00</x:v>
      </x:c>
      <x:c r="C48" s="52" t="n">
        <x:v>46224</x:v>
      </x:c>
      <x:c r="D48" s="32" t="str">
        <x:v>IC-0022</x:v>
      </x:c>
      <x:c r="E48" s="32" t="str">
        <x:v>Account Slot 2</x:v>
      </x:c>
      <x:c r="F48" s="32" t="str">
        <x:v>https://video.invalid/case/V0022</x:v>
      </x:c>
      <x:c r="G48" s="32" t="str">
        <x:v>creator_case_022</x:v>
      </x:c>
      <x:c r="H48" s="32" t="str">
        <x:v>Pending</x:v>
      </x:c>
      <x:c r="I48" s="32" t="str">
        <x:v>Visible</x:v>
      </x:c>
      <x:c r="J48" s="32" t="str">
        <x:v>EVD-SYN-0022-24H</x:v>
      </x:c>
      <x:c r="K48" s="32" t="str">
        <x:v>24h verification</x:v>
      </x:c>
      <x:c r="L48" s="32" t="str">
        <x:v>None</x:v>
      </x:c>
      <x:c r="M48" s="32" t="str">
        <x:v>Pass</x:v>
      </x:c>
      <x:c r="N48" s="32" t="str">
        <x:v>ชอบการแมตช์สูทที่ดูสุภาพแต่ยังมีความแฟชั่นอยู่ค่ะ blazer ทรงนี้ถ้ามีจุดเด่นเล็กแบบในรูป น่าจะดูตั้งใจและจำง่ายขึ้นมากค่ะ</x:v>
      </x:c>
      <x:c r="O48" s="32" t="str">
        <x:v>ชอบการแมตช์สูทที่ดูสุภาพแต่ยังมีความแฟชั่นอยู่ค่ะ blazer ทรงนี้ถ้ามีจุดเด่นเล็กแบบในรูป น่าจะดูตั้งใจและจำง่ายขึ้นมากค่ะ</x:v>
      </x:c>
      <x:c r="P48" s="32" t="n">
        <x:v>1</x:v>
      </x:c>
      <x:c r="Q48" s="32" t="str">
        <x:v>Synthetic reply preview</x:v>
      </x:c>
      <x:c r="R48" s="32" t="str">
        <x:v>User</x:v>
      </x:c>
      <x:c r="S48" s="32" t="str">
        <x:v>24h</x:v>
      </x:c>
      <x:c r="T48" s="32" t="str">
        <x:f>IF(I48="Inconclusive","Inconclusive",IF(AND(OR(R48="User",R48="Mixed"),J48&lt;&gt;""),IF(R48="Mixed","Mixed Reply","Verified User Reply"),"No Verified User Reply"))</x:f>
        <x:v>Verified User Reply</x:v>
      </x:c>
      <x:c r="U48" s="32" t="str">
        <x:v>BATCH-VERIFY-24H</x:v>
      </x:c>
      <x:c r="V48" s="32" t="str">
        <x:f>D48&amp;"|"&amp;S48</x:f>
        <x:v>IC-0022|24h</x:v>
      </x:c>
      <x:c r="W48" s="32" t="str">
        <x:f>I48</x:f>
        <x:v>Visible</x:v>
      </x:c>
      <x:c r="X48" s="32" t="str">
        <x:f>R48</x:f>
        <x:v>User</x:v>
      </x:c>
      <x:c r="Y48" s="33" t="str">
        <x:f>T48</x:f>
        <x:v>Verified User Reply</x:v>
      </x:c>
    </x:row>
    <x:row r="49">
      <x:c r="A49" s="49" t="n">
        <x:v>46224</x:v>
      </x:c>
      <x:c r="B49" s="32" t="str">
        <x:v>12:30</x:v>
      </x:c>
      <x:c r="C49" s="52" t="n">
        <x:v>46224</x:v>
      </x:c>
      <x:c r="D49" s="32" t="str">
        <x:v>IC-0023</x:v>
      </x:c>
      <x:c r="E49" s="32" t="str">
        <x:v>Account Slot 3</x:v>
      </x:c>
      <x:c r="F49" s="32" t="str">
        <x:v>https://video.invalid/case/V0023</x:v>
      </x:c>
      <x:c r="G49" s="32" t="str">
        <x:v>creator_case_023</x:v>
      </x:c>
      <x:c r="H49" s="32" t="str">
        <x:v>Pending</x:v>
      </x:c>
      <x:c r="I49" s="32" t="str">
        <x:v>Visible</x:v>
      </x:c>
      <x:c r="J49" s="32" t="str">
        <x:v>EVD-SYN-0023-30M</x:v>
      </x:c>
      <x:c r="K49" s="32" t="str">
        <x:v>30m verification</x:v>
      </x:c>
      <x:c r="L49" s="32" t="str">
        <x:v>None</x:v>
      </x:c>
      <x:c r="M49" s="32" t="str">
        <x:v>Pass</x:v>
      </x:c>
      <x:c r="N49" s="32" t="str">
        <x:v>มู้ดของลุคนี้ดูสุภาพแต่ไม่ทำให้ชุดน่าเบื่อเลย พอมีตัวครอบกระดุมชิ้นเล็กแบบในรูป ช่วงคอกับข้อมือก็ดูตั้งใจขึ้นทันที</x:v>
      </x:c>
      <x:c r="O49" s="32" t="str">
        <x:v>มู้ดของลุคนี้ดูสุภาพแต่ไม่ทำให้ชุดน่าเบื่อเลย พอมีตัวครอบกระดุมชิ้นเล็กแบบในรูป ช่วงคอกับข้อมือก็ดูตั้งใจขึ้นทันที</x:v>
      </x:c>
      <x:c r="P49" s="32" t="n">
        <x:v>1</x:v>
      </x:c>
      <x:c r="Q49" s="32" t="str">
        <x:v>Synthetic reply preview</x:v>
      </x:c>
      <x:c r="R49" s="32" t="str">
        <x:v>Creator</x:v>
      </x:c>
      <x:c r="S49" s="32" t="str">
        <x:v>30m</x:v>
      </x:c>
      <x:c r="T49" s="32" t="str">
        <x:f>IF(I49="Inconclusive","Inconclusive",IF(AND(OR(R49="User",R49="Mixed"),J49&lt;&gt;""),IF(R49="Mixed","Mixed Reply","Verified User Reply"),"No Verified User Reply"))</x:f>
        <x:v>No Verified User Reply</x:v>
      </x:c>
      <x:c r="U49" s="32" t="str">
        <x:v>BATCH-VERIFY-30M</x:v>
      </x:c>
      <x:c r="V49" s="32" t="str">
        <x:f>D49&amp;"|"&amp;S49</x:f>
        <x:v>IC-0023|30m</x:v>
      </x:c>
      <x:c r="W49" s="32" t="str">
        <x:f>I49</x:f>
        <x:v>Visible</x:v>
      </x:c>
      <x:c r="X49" s="32" t="str">
        <x:f>R49</x:f>
        <x:v>Creator</x:v>
      </x:c>
      <x:c r="Y49" s="33" t="str">
        <x:f>T49</x:f>
        <x:v>No Verified User Reply</x:v>
      </x:c>
    </x:row>
    <x:row r="50">
      <x:c r="A50" s="49" t="n">
        <x:v>46225</x:v>
      </x:c>
      <x:c r="B50" s="32" t="str">
        <x:v>12:00</x:v>
      </x:c>
      <x:c r="C50" s="52" t="n">
        <x:v>46224</x:v>
      </x:c>
      <x:c r="D50" s="32" t="str">
        <x:v>IC-0023</x:v>
      </x:c>
      <x:c r="E50" s="32" t="str">
        <x:v>Account Slot 3</x:v>
      </x:c>
      <x:c r="F50" s="32" t="str">
        <x:v>https://video.invalid/case/V0023</x:v>
      </x:c>
      <x:c r="G50" s="32" t="str">
        <x:v>creator_case_023</x:v>
      </x:c>
      <x:c r="H50" s="32" t="str">
        <x:v>Pending</x:v>
      </x:c>
      <x:c r="I50" s="32" t="str">
        <x:v>Visible</x:v>
      </x:c>
      <x:c r="J50" s="32" t="str">
        <x:v>EVD-SYN-0023-24H</x:v>
      </x:c>
      <x:c r="K50" s="32" t="str">
        <x:v>24h verification</x:v>
      </x:c>
      <x:c r="L50" s="32" t="str">
        <x:v>None</x:v>
      </x:c>
      <x:c r="M50" s="32" t="str">
        <x:v>Pass</x:v>
      </x:c>
      <x:c r="N50" s="32" t="str">
        <x:v>มู้ดของลุคนี้ดูสุภาพแต่ไม่ทำให้ชุดน่าเบื่อเลย พอมีตัวครอบกระดุมชิ้นเล็กแบบในรูป ช่วงคอกับข้อมือก็ดูตั้งใจขึ้นทันที</x:v>
      </x:c>
      <x:c r="O50" s="32" t="str">
        <x:v>มู้ดของลุคนี้ดูสุภาพแต่ไม่ทำให้ชุดน่าเบื่อเลย พอมีตัวครอบกระดุมชิ้นเล็กแบบในรูป ช่วงคอกับข้อมือก็ดูตั้งใจขึ้นทันที</x:v>
      </x:c>
      <x:c r="P50" s="32" t="n">
        <x:v>1</x:v>
      </x:c>
      <x:c r="Q50" s="32" t="str">
        <x:v>Synthetic reply preview</x:v>
      </x:c>
      <x:c r="R50" s="32" t="str">
        <x:v>Creator</x:v>
      </x:c>
      <x:c r="S50" s="32" t="str">
        <x:v>24h</x:v>
      </x:c>
      <x:c r="T50" s="32" t="str">
        <x:f>IF(I50="Inconclusive","Inconclusive",IF(AND(OR(R50="User",R50="Mixed"),J50&lt;&gt;""),IF(R50="Mixed","Mixed Reply","Verified User Reply"),"No Verified User Reply"))</x:f>
        <x:v>No Verified User Reply</x:v>
      </x:c>
      <x:c r="U50" s="32" t="str">
        <x:v>BATCH-VERIFY-24H</x:v>
      </x:c>
      <x:c r="V50" s="32" t="str">
        <x:f>D50&amp;"|"&amp;S50</x:f>
        <x:v>IC-0023|24h</x:v>
      </x:c>
      <x:c r="W50" s="32" t="str">
        <x:f>I50</x:f>
        <x:v>Visible</x:v>
      </x:c>
      <x:c r="X50" s="32" t="str">
        <x:f>R50</x:f>
        <x:v>Creator</x:v>
      </x:c>
      <x:c r="Y50" s="33" t="str">
        <x:f>T50</x:f>
        <x:v>No Verified User Reply</x:v>
      </x:c>
    </x:row>
    <x:row r="51">
      <x:c r="A51" s="49" t="n">
        <x:v>46224</x:v>
      </x:c>
      <x:c r="B51" s="32" t="str">
        <x:v>12:30</x:v>
      </x:c>
      <x:c r="C51" s="52" t="n">
        <x:v>46224</x:v>
      </x:c>
      <x:c r="D51" s="32" t="str">
        <x:v>IC-0024</x:v>
      </x:c>
      <x:c r="E51" s="32" t="str">
        <x:v>Account Slot 4</x:v>
      </x:c>
      <x:c r="F51" s="32" t="str">
        <x:v>https://video.invalid/case/V0024</x:v>
      </x:c>
      <x:c r="G51" s="32" t="str">
        <x:v>creator_case_024</x:v>
      </x:c>
      <x:c r="H51" s="32" t="str">
        <x:v>Pending</x:v>
      </x:c>
      <x:c r="I51" s="32" t="str">
        <x:v>Visible</x:v>
      </x:c>
      <x:c r="J51" s="32" t="str">
        <x:v>EVD-SYN-0024-30M</x:v>
      </x:c>
      <x:c r="K51" s="32" t="str">
        <x:v>30m verification</x:v>
      </x:c>
      <x:c r="L51" s="32" t="str">
        <x:v>None</x:v>
      </x:c>
      <x:c r="M51" s="32" t="str">
        <x:v>Pass</x:v>
      </x:c>
      <x:c r="N51" s="32" t="str">
        <x:v>ลุคทำงานนี้ดูสุภาพและใช้งานจริงได้มากค่ะ ถ้าอยากเปลี่ยนฟีลเสื้อตัวเดิม ลองเติมตัวครอบกระดุมตรงคอหรือปลายแขนแบบในรูปดูค่ะ</x:v>
      </x:c>
      <x:c r="O51" s="32" t="str">
        <x:v>ลุคทำงานนี้ดูสุภาพและใช้งานจริงได้มากค่ะ ถ้าอยากเปลี่ยนฟีลเสื้อตัวเดิม ลองเติมตัวครอบกระดุมตรงคอหรือปลายแขนแบบในรูปดูค่ะ</x:v>
      </x:c>
      <x:c r="P51" s="32" t="n">
        <x:v>0</x:v>
      </x:c>
      <x:c r="Q51" s="32" t="str"/>
      <x:c r="R51" s="32" t="str">
        <x:v>None</x:v>
      </x:c>
      <x:c r="S51" s="32" t="str">
        <x:v>30m</x:v>
      </x:c>
      <x:c r="T51" s="32" t="str">
        <x:f>IF(I51="Inconclusive","Inconclusive",IF(AND(OR(R51="User",R51="Mixed"),J51&lt;&gt;""),IF(R51="Mixed","Mixed Reply","Verified User Reply"),"No Verified User Reply"))</x:f>
        <x:v>No Verified User Reply</x:v>
      </x:c>
      <x:c r="U51" s="32" t="str">
        <x:v>BATCH-VERIFY-30M</x:v>
      </x:c>
      <x:c r="V51" s="32" t="str">
        <x:f>D51&amp;"|"&amp;S51</x:f>
        <x:v>IC-0024|30m</x:v>
      </x:c>
      <x:c r="W51" s="32" t="str">
        <x:f>I51</x:f>
        <x:v>Visible</x:v>
      </x:c>
      <x:c r="X51" s="32" t="str">
        <x:f>R51</x:f>
        <x:v>None</x:v>
      </x:c>
      <x:c r="Y51" s="33" t="str">
        <x:f>T51</x:f>
        <x:v>No Verified User Reply</x:v>
      </x:c>
    </x:row>
    <x:row r="52">
      <x:c r="A52" s="49" t="n">
        <x:v>46225</x:v>
      </x:c>
      <x:c r="B52" s="32" t="str">
        <x:v>12:00</x:v>
      </x:c>
      <x:c r="C52" s="52" t="n">
        <x:v>46224</x:v>
      </x:c>
      <x:c r="D52" s="32" t="str">
        <x:v>IC-0024</x:v>
      </x:c>
      <x:c r="E52" s="32" t="str">
        <x:v>Account Slot 4</x:v>
      </x:c>
      <x:c r="F52" s="32" t="str">
        <x:v>https://video.invalid/case/V0024</x:v>
      </x:c>
      <x:c r="G52" s="32" t="str">
        <x:v>creator_case_024</x:v>
      </x:c>
      <x:c r="H52" s="32" t="str">
        <x:v>Pending</x:v>
      </x:c>
      <x:c r="I52" s="32" t="str">
        <x:v>Visible</x:v>
      </x:c>
      <x:c r="J52" s="32" t="str">
        <x:v>EVD-SYN-0024-24H</x:v>
      </x:c>
      <x:c r="K52" s="32" t="str">
        <x:v>24h verification</x:v>
      </x:c>
      <x:c r="L52" s="32" t="str">
        <x:v>None</x:v>
      </x:c>
      <x:c r="M52" s="32" t="str">
        <x:v>Pass</x:v>
      </x:c>
      <x:c r="N52" s="32" t="str">
        <x:v>ลุคทำงานนี้ดูสุภาพและใช้งานจริงได้มากค่ะ ถ้าอยากเปลี่ยนฟีลเสื้อตัวเดิม ลองเติมตัวครอบกระดุมตรงคอหรือปลายแขนแบบในรูปดูค่ะ</x:v>
      </x:c>
      <x:c r="O52" s="32" t="str">
        <x:v>ลุคทำงานนี้ดูสุภาพและใช้งานจริงได้มากค่ะ ถ้าอยากเปลี่ยนฟีลเสื้อตัวเดิม ลองเติมตัวครอบกระดุมตรงคอหรือปลายแขนแบบในรูปดูค่ะ</x:v>
      </x:c>
      <x:c r="P52" s="32" t="n">
        <x:v>0</x:v>
      </x:c>
      <x:c r="Q52" s="32" t="str"/>
      <x:c r="R52" s="32" t="str">
        <x:v>None</x:v>
      </x:c>
      <x:c r="S52" s="32" t="str">
        <x:v>24h</x:v>
      </x:c>
      <x:c r="T52" s="32" t="str">
        <x:f>IF(I52="Inconclusive","Inconclusive",IF(AND(OR(R52="User",R52="Mixed"),J52&lt;&gt;""),IF(R52="Mixed","Mixed Reply","Verified User Reply"),"No Verified User Reply"))</x:f>
        <x:v>No Verified User Reply</x:v>
      </x:c>
      <x:c r="U52" s="32" t="str">
        <x:v>BATCH-VERIFY-24H</x:v>
      </x:c>
      <x:c r="V52" s="32" t="str">
        <x:f>D52&amp;"|"&amp;S52</x:f>
        <x:v>IC-0024|24h</x:v>
      </x:c>
      <x:c r="W52" s="32" t="str">
        <x:f>I52</x:f>
        <x:v>Visible</x:v>
      </x:c>
      <x:c r="X52" s="32" t="str">
        <x:f>R52</x:f>
        <x:v>None</x:v>
      </x:c>
      <x:c r="Y52" s="33" t="str">
        <x:f>T52</x:f>
        <x:v>No Verified User Reply</x:v>
      </x:c>
    </x:row>
    <x:row r="53">
      <x:c r="A53" s="49" t="n">
        <x:v>46224</x:v>
      </x:c>
      <x:c r="B53" s="32" t="str">
        <x:v>12:30</x:v>
      </x:c>
      <x:c r="C53" s="52" t="n">
        <x:v>46224</x:v>
      </x:c>
      <x:c r="D53" s="32" t="str">
        <x:v>IC-0025</x:v>
      </x:c>
      <x:c r="E53" s="32" t="str">
        <x:v>Account Slot 5</x:v>
      </x:c>
      <x:c r="F53" s="32" t="str">
        <x:v>https://video.invalid/case/V0025</x:v>
      </x:c>
      <x:c r="G53" s="32" t="str">
        <x:v>creator_case_025</x:v>
      </x:c>
      <x:c r="H53" s="32" t="str">
        <x:v>Pending</x:v>
      </x:c>
      <x:c r="I53" s="32" t="str">
        <x:v>Visible</x:v>
      </x:c>
      <x:c r="J53" s="32" t="str">
        <x:v>EVD-SYN-0025-30M</x:v>
      </x:c>
      <x:c r="K53" s="32" t="str">
        <x:v>30m verification</x:v>
      </x:c>
      <x:c r="L53" s="32" t="str">
        <x:v>None</x:v>
      </x:c>
      <x:c r="M53" s="32" t="str">
        <x:v>Pass</x:v>
      </x:c>
      <x:c r="N53" s="32" t="str">
        <x:v>เชิ้ตตัวนี้ให้มู้ดสุภาพแต่ยังดูทันสมัยอยู่ค่ะ ตัวครอบกระดุมโทนมุกแบบในรูปเข้ากับลุคคลีนและไม่ทำให้ชุดดูแน่นเกินไป</x:v>
      </x:c>
      <x:c r="O53" s="32" t="str">
        <x:v>เชิ้ตตัวนี้ให้มู้ดสุภาพแต่ยังดูทันสมัยอยู่ค่ะ ตัวครอบกระดุมโทนมุกแบบในรูปเข้ากับลุคคลีนและไม่ทำให้ชุดดูแน่นเกินไป</x:v>
      </x:c>
      <x:c r="P53" s="32" t="n">
        <x:v>0</x:v>
      </x:c>
      <x:c r="Q53" s="32" t="str"/>
      <x:c r="R53" s="32" t="str">
        <x:v>None</x:v>
      </x:c>
      <x:c r="S53" s="32" t="str">
        <x:v>30m</x:v>
      </x:c>
      <x:c r="T53" s="32" t="str">
        <x:f>IF(I53="Inconclusive","Inconclusive",IF(AND(OR(R53="User",R53="Mixed"),J53&lt;&gt;""),IF(R53="Mixed","Mixed Reply","Verified User Reply"),"No Verified User Reply"))</x:f>
        <x:v>No Verified User Reply</x:v>
      </x:c>
      <x:c r="U53" s="32" t="str">
        <x:v>BATCH-VERIFY-30M</x:v>
      </x:c>
      <x:c r="V53" s="32" t="str">
        <x:f>D53&amp;"|"&amp;S53</x:f>
        <x:v>IC-0025|30m</x:v>
      </x:c>
      <x:c r="W53" s="32" t="str">
        <x:f>I53</x:f>
        <x:v>Visible</x:v>
      </x:c>
      <x:c r="X53" s="32" t="str">
        <x:f>R53</x:f>
        <x:v>None</x:v>
      </x:c>
      <x:c r="Y53" s="33" t="str">
        <x:f>T53</x:f>
        <x:v>No Verified User Reply</x:v>
      </x:c>
    </x:row>
    <x:row r="54">
      <x:c r="A54" s="49" t="n">
        <x:v>46225</x:v>
      </x:c>
      <x:c r="B54" s="32" t="str">
        <x:v>12:00</x:v>
      </x:c>
      <x:c r="C54" s="52" t="n">
        <x:v>46224</x:v>
      </x:c>
      <x:c r="D54" s="32" t="str">
        <x:v>IC-0025</x:v>
      </x:c>
      <x:c r="E54" s="32" t="str">
        <x:v>Account Slot 5</x:v>
      </x:c>
      <x:c r="F54" s="32" t="str">
        <x:v>https://video.invalid/case/V0025</x:v>
      </x:c>
      <x:c r="G54" s="32" t="str">
        <x:v>creator_case_025</x:v>
      </x:c>
      <x:c r="H54" s="32" t="str">
        <x:v>Pending</x:v>
      </x:c>
      <x:c r="I54" s="32" t="str">
        <x:v>Visible</x:v>
      </x:c>
      <x:c r="J54" s="32" t="str">
        <x:v>EVD-SYN-0025-24H</x:v>
      </x:c>
      <x:c r="K54" s="32" t="str">
        <x:v>24h verification</x:v>
      </x:c>
      <x:c r="L54" s="32" t="str">
        <x:v>None</x:v>
      </x:c>
      <x:c r="M54" s="32" t="str">
        <x:v>Pass</x:v>
      </x:c>
      <x:c r="N54" s="32" t="str">
        <x:v>เชิ้ตตัวนี้ให้มู้ดสุภาพแต่ยังดูทันสมัยอยู่ค่ะ ตัวครอบกระดุมโทนมุกแบบในรูปเข้ากับลุคคลีนและไม่ทำให้ชุดดูแน่นเกินไป</x:v>
      </x:c>
      <x:c r="O54" s="32" t="str">
        <x:v>เชิ้ตตัวนี้ให้มู้ดสุภาพแต่ยังดูทันสมัยอยู่ค่ะ ตัวครอบกระดุมโทนมุกแบบในรูปเข้ากับลุคคลีนและไม่ทำให้ชุดดูแน่นเกินไป</x:v>
      </x:c>
      <x:c r="P54" s="32" t="n">
        <x:v>0</x:v>
      </x:c>
      <x:c r="Q54" s="32" t="str"/>
      <x:c r="R54" s="32" t="str">
        <x:v>None</x:v>
      </x:c>
      <x:c r="S54" s="32" t="str">
        <x:v>24h</x:v>
      </x:c>
      <x:c r="T54" s="32" t="str">
        <x:f>IF(I54="Inconclusive","Inconclusive",IF(AND(OR(R54="User",R54="Mixed"),J54&lt;&gt;""),IF(R54="Mixed","Mixed Reply","Verified User Reply"),"No Verified User Reply"))</x:f>
        <x:v>No Verified User Reply</x:v>
      </x:c>
      <x:c r="U54" s="32" t="str">
        <x:v>BATCH-VERIFY-24H</x:v>
      </x:c>
      <x:c r="V54" s="32" t="str">
        <x:f>D54&amp;"|"&amp;S54</x:f>
        <x:v>IC-0025|24h</x:v>
      </x:c>
      <x:c r="W54" s="32" t="str">
        <x:f>I54</x:f>
        <x:v>Visible</x:v>
      </x:c>
      <x:c r="X54" s="32" t="str">
        <x:f>R54</x:f>
        <x:v>None</x:v>
      </x:c>
      <x:c r="Y54" s="33" t="str">
        <x:f>T54</x:f>
        <x:v>No Verified User Reply</x:v>
      </x:c>
    </x:row>
    <x:row r="55">
      <x:c r="A55" s="49" t="n">
        <x:v>46225</x:v>
      </x:c>
      <x:c r="B55" s="32" t="str">
        <x:v>12:30</x:v>
      </x:c>
      <x:c r="C55" s="52" t="n">
        <x:v>46225</x:v>
      </x:c>
      <x:c r="D55" s="32" t="str">
        <x:v>IC-0026</x:v>
      </x:c>
      <x:c r="E55" s="32" t="str">
        <x:v>Account Slot 6</x:v>
      </x:c>
      <x:c r="F55" s="32" t="str">
        <x:v>https://video.invalid/case/V0026</x:v>
      </x:c>
      <x:c r="G55" s="32" t="str">
        <x:v>creator_case_026</x:v>
      </x:c>
      <x:c r="H55" s="32" t="str">
        <x:v>Pending</x:v>
      </x:c>
      <x:c r="I55" s="32" t="str">
        <x:v>Visible</x:v>
      </x:c>
      <x:c r="J55" s="32" t="str">
        <x:v>EVD-SYN-0026-30M</x:v>
      </x:c>
      <x:c r="K55" s="32" t="str">
        <x:v>30m verification</x:v>
      </x:c>
      <x:c r="L55" s="32" t="str">
        <x:v>None</x:v>
      </x:c>
      <x:c r="M55" s="32" t="str">
        <x:v>Pass</x:v>
      </x:c>
      <x:c r="N55" s="32" t="str">
        <x:v>ชอบลุคเลเยอร์ที่ดูอบอุ่นแต่ไม่หนักเกินไปค่ะ ลุคนี้ลองเพิ่มดีเทลโทนมุกแบบในรูปเพียงหนึ่งถึงสองจุดก็น่าจะน่ารักขึ้นมาก</x:v>
      </x:c>
      <x:c r="O55" s="32" t="str">
        <x:v>ชอบลุคเลเยอร์ที่ดูอบอุ่นแต่ไม่หนักเกินไปค่ะ ลุคนี้ลองเพิ่มดีเทลโทนมุกแบบในรูปเพียงหนึ่งถึงสองจุดก็น่าจะน่ารักขึ้นมาก</x:v>
      </x:c>
      <x:c r="P55" s="32" t="n">
        <x:v>0</x:v>
      </x:c>
      <x:c r="Q55" s="32" t="str"/>
      <x:c r="R55" s="32" t="str">
        <x:v>None</x:v>
      </x:c>
      <x:c r="S55" s="32" t="str">
        <x:v>30m</x:v>
      </x:c>
      <x:c r="T55" s="32" t="str">
        <x:f>IF(I55="Inconclusive","Inconclusive",IF(AND(OR(R55="User",R55="Mixed"),J55&lt;&gt;""),IF(R55="Mixed","Mixed Reply","Verified User Reply"),"No Verified User Reply"))</x:f>
        <x:v>No Verified User Reply</x:v>
      </x:c>
      <x:c r="U55" s="32" t="str">
        <x:v>BATCH-VERIFY-30M</x:v>
      </x:c>
      <x:c r="V55" s="32" t="str">
        <x:f>D55&amp;"|"&amp;S55</x:f>
        <x:v>IC-0026|30m</x:v>
      </x:c>
      <x:c r="W55" s="32" t="str">
        <x:f>I55</x:f>
        <x:v>Visible</x:v>
      </x:c>
      <x:c r="X55" s="32" t="str">
        <x:f>R55</x:f>
        <x:v>None</x:v>
      </x:c>
      <x:c r="Y55" s="33" t="str">
        <x:f>T55</x:f>
        <x:v>No Verified User Reply</x:v>
      </x:c>
    </x:row>
    <x:row r="56">
      <x:c r="A56" s="49" t="n">
        <x:v>46226</x:v>
      </x:c>
      <x:c r="B56" s="32" t="str">
        <x:v>12:00</x:v>
      </x:c>
      <x:c r="C56" s="52" t="n">
        <x:v>46225</x:v>
      </x:c>
      <x:c r="D56" s="32" t="str">
        <x:v>IC-0026</x:v>
      </x:c>
      <x:c r="E56" s="32" t="str">
        <x:v>Account Slot 6</x:v>
      </x:c>
      <x:c r="F56" s="32" t="str">
        <x:v>https://video.invalid/case/V0026</x:v>
      </x:c>
      <x:c r="G56" s="32" t="str">
        <x:v>creator_case_026</x:v>
      </x:c>
      <x:c r="H56" s="32" t="str">
        <x:v>Pending</x:v>
      </x:c>
      <x:c r="I56" s="32" t="str">
        <x:v>Missing</x:v>
      </x:c>
      <x:c r="J56" s="32" t="str">
        <x:v>EVD-SYN-0026-24H</x:v>
      </x:c>
      <x:c r="K56" s="32" t="str">
        <x:v>24h verification</x:v>
      </x:c>
      <x:c r="L56" s="32" t="str">
        <x:v>None</x:v>
      </x:c>
      <x:c r="M56" s="32" t="str">
        <x:v>Pass</x:v>
      </x:c>
      <x:c r="N56" s="32" t="str">
        <x:v>ชอบลุคเลเยอร์ที่ดูอบอุ่นแต่ไม่หนักเกินไปค่ะ ลุคนี้ลองเพิ่มดีเทลโทนมุกแบบในรูปเพียงหนึ่งถึงสองจุดก็น่าจะน่ารักขึ้นมาก</x:v>
      </x:c>
      <x:c r="O56" s="32"/>
      <x:c r="P56" s="32" t="n">
        <x:v>0</x:v>
      </x:c>
      <x:c r="Q56" s="32" t="str"/>
      <x:c r="R56" s="32" t="str">
        <x:v>None</x:v>
      </x:c>
      <x:c r="S56" s="32" t="str">
        <x:v>24h</x:v>
      </x:c>
      <x:c r="T56" s="32" t="str">
        <x:f>IF(I56="Inconclusive","Inconclusive",IF(AND(OR(R56="User",R56="Mixed"),J56&lt;&gt;""),IF(R56="Mixed","Mixed Reply","Verified User Reply"),"No Verified User Reply"))</x:f>
        <x:v>No Verified User Reply</x:v>
      </x:c>
      <x:c r="U56" s="32" t="str">
        <x:v>BATCH-VERIFY-24H</x:v>
      </x:c>
      <x:c r="V56" s="32" t="str">
        <x:f>D56&amp;"|"&amp;S56</x:f>
        <x:v>IC-0026|24h</x:v>
      </x:c>
      <x:c r="W56" s="32" t="str">
        <x:f>I56</x:f>
        <x:v>Missing</x:v>
      </x:c>
      <x:c r="X56" s="32" t="str">
        <x:f>R56</x:f>
        <x:v>None</x:v>
      </x:c>
      <x:c r="Y56" s="33" t="str">
        <x:f>T56</x:f>
        <x:v>No Verified User Reply</x:v>
      </x:c>
    </x:row>
    <x:row r="57">
      <x:c r="A57" s="49" t="n">
        <x:v>46225</x:v>
      </x:c>
      <x:c r="B57" s="32" t="str">
        <x:v>12:30</x:v>
      </x:c>
      <x:c r="C57" s="52" t="n">
        <x:v>46225</x:v>
      </x:c>
      <x:c r="D57" s="32" t="str">
        <x:v>IC-0027</x:v>
      </x:c>
      <x:c r="E57" s="32" t="str">
        <x:v>Account Slot 7</x:v>
      </x:c>
      <x:c r="F57" s="32" t="str">
        <x:v>https://video.invalid/case/V0027</x:v>
      </x:c>
      <x:c r="G57" s="32" t="str">
        <x:v>creator_case_027</x:v>
      </x:c>
      <x:c r="H57" s="32" t="str">
        <x:v>Pending</x:v>
      </x:c>
      <x:c r="I57" s="32" t="str">
        <x:v>Visible</x:v>
      </x:c>
      <x:c r="J57" s="32" t="str">
        <x:v>EVD-SYN-0027-30M</x:v>
      </x:c>
      <x:c r="K57" s="32" t="str">
        <x:v>30m verification</x:v>
      </x:c>
      <x:c r="L57" s="32" t="str">
        <x:v>None</x:v>
      </x:c>
      <x:c r="M57" s="32" t="str">
        <x:v>Pass</x:v>
      </x:c>
      <x:c r="N57" s="32" t="str">
        <x:v>ร้านเราถูกที่สุด รับประกันไม่พัง 100% ทักด่วน</x:v>
      </x:c>
      <x:c r="O57" s="32" t="str">
        <x:v>ร้านเราถูกที่สุด รับประกันไม่พัง 100% ทักด่วน</x:v>
      </x:c>
      <x:c r="P57" s="32" t="n">
        <x:v>2</x:v>
      </x:c>
      <x:c r="Q57" s="32" t="str">
        <x:v>Synthetic reply preview</x:v>
      </x:c>
      <x:c r="R57" s="32" t="str">
        <x:v>Mixed</x:v>
      </x:c>
      <x:c r="S57" s="32" t="str">
        <x:v>30m</x:v>
      </x:c>
      <x:c r="T57" s="32" t="str">
        <x:f>IF(I57="Inconclusive","Inconclusive",IF(AND(OR(R57="User",R57="Mixed"),J57&lt;&gt;""),IF(R57="Mixed","Mixed Reply","Verified User Reply"),"No Verified User Reply"))</x:f>
        <x:v>Mixed Reply</x:v>
      </x:c>
      <x:c r="U57" s="32" t="str">
        <x:v>BATCH-VERIFY-30M</x:v>
      </x:c>
      <x:c r="V57" s="32" t="str">
        <x:f>D57&amp;"|"&amp;S57</x:f>
        <x:v>IC-0027|30m</x:v>
      </x:c>
      <x:c r="W57" s="32" t="str">
        <x:f>I57</x:f>
        <x:v>Visible</x:v>
      </x:c>
      <x:c r="X57" s="32" t="str">
        <x:f>R57</x:f>
        <x:v>Mixed</x:v>
      </x:c>
      <x:c r="Y57" s="33" t="str">
        <x:f>T57</x:f>
        <x:v>Mixed Reply</x:v>
      </x:c>
    </x:row>
    <x:row r="58">
      <x:c r="A58" s="49" t="n">
        <x:v>46226</x:v>
      </x:c>
      <x:c r="B58" s="32" t="str">
        <x:v>12:00</x:v>
      </x:c>
      <x:c r="C58" s="52" t="n">
        <x:v>46225</x:v>
      </x:c>
      <x:c r="D58" s="32" t="str">
        <x:v>IC-0027</x:v>
      </x:c>
      <x:c r="E58" s="32" t="str">
        <x:v>Account Slot 7</x:v>
      </x:c>
      <x:c r="F58" s="32" t="str">
        <x:v>https://video.invalid/case/V0027</x:v>
      </x:c>
      <x:c r="G58" s="32" t="str">
        <x:v>creator_case_027</x:v>
      </x:c>
      <x:c r="H58" s="32" t="str">
        <x:v>Pending</x:v>
      </x:c>
      <x:c r="I58" s="32" t="str">
        <x:v>Visible</x:v>
      </x:c>
      <x:c r="J58" s="32" t="str">
        <x:v>EVD-SYN-0027-24H</x:v>
      </x:c>
      <x:c r="K58" s="32" t="str">
        <x:v>24h verification</x:v>
      </x:c>
      <x:c r="L58" s="32" t="str">
        <x:v>None</x:v>
      </x:c>
      <x:c r="M58" s="32" t="str">
        <x:v>Pass</x:v>
      </x:c>
      <x:c r="N58" s="32" t="str">
        <x:v>ร้านเราถูกที่สุด รับประกันไม่พัง 100% ทักด่วน</x:v>
      </x:c>
      <x:c r="O58" s="32" t="str">
        <x:v>ร้านเราถูกที่สุด รับประกันไม่พัง 100% ทักด่วน</x:v>
      </x:c>
      <x:c r="P58" s="32" t="n">
        <x:v>2</x:v>
      </x:c>
      <x:c r="Q58" s="32" t="str">
        <x:v>Synthetic reply preview</x:v>
      </x:c>
      <x:c r="R58" s="32" t="str">
        <x:v>Mixed</x:v>
      </x:c>
      <x:c r="S58" s="32" t="str">
        <x:v>24h</x:v>
      </x:c>
      <x:c r="T58" s="32" t="str">
        <x:f>IF(I58="Inconclusive","Inconclusive",IF(AND(OR(R58="User",R58="Mixed"),J58&lt;&gt;""),IF(R58="Mixed","Mixed Reply","Verified User Reply"),"No Verified User Reply"))</x:f>
        <x:v>Mixed Reply</x:v>
      </x:c>
      <x:c r="U58" s="32" t="str">
        <x:v>BATCH-VERIFY-24H</x:v>
      </x:c>
      <x:c r="V58" s="32" t="str">
        <x:f>D58&amp;"|"&amp;S58</x:f>
        <x:v>IC-0027|24h</x:v>
      </x:c>
      <x:c r="W58" s="32" t="str">
        <x:f>I58</x:f>
        <x:v>Visible</x:v>
      </x:c>
      <x:c r="X58" s="32" t="str">
        <x:f>R58</x:f>
        <x:v>Mixed</x:v>
      </x:c>
      <x:c r="Y58" s="33" t="str">
        <x:f>T58</x:f>
        <x:v>Mixed Reply</x:v>
      </x:c>
    </x:row>
    <x:row r="59">
      <x:c r="A59" s="49" t="n">
        <x:v>46225</x:v>
      </x:c>
      <x:c r="B59" s="32" t="str">
        <x:v>12:30</x:v>
      </x:c>
      <x:c r="C59" s="52" t="n">
        <x:v>46225</x:v>
      </x:c>
      <x:c r="D59" s="32" t="str">
        <x:v>IC-0028</x:v>
      </x:c>
      <x:c r="E59" s="32" t="str">
        <x:v>Account Slot 8</x:v>
      </x:c>
      <x:c r="F59" s="32" t="str">
        <x:v>https://video.invalid/case/V0028</x:v>
      </x:c>
      <x:c r="G59" s="32" t="str">
        <x:v>creator_case_028</x:v>
      </x:c>
      <x:c r="H59" s="32" t="str">
        <x:v>Pending</x:v>
      </x:c>
      <x:c r="I59" s="32" t="str">
        <x:v>Missing</x:v>
      </x:c>
      <x:c r="J59" s="32" t="str">
        <x:v>EVD-SYN-0028-30M</x:v>
      </x:c>
      <x:c r="K59" s="32" t="str">
        <x:v>30m verification</x:v>
      </x:c>
      <x:c r="L59" s="32" t="str">
        <x:v>None</x:v>
      </x:c>
      <x:c r="M59" s="32" t="str">
        <x:v>Pass</x:v>
      </x:c>
      <x:c r="N59" s="32" t="str">
        <x:v>โทนเข้มแบบนี้ช่วยให้ลุคดูคมและน่าสนใจมาก blazer ทรงนี้ถ้ามีจุดเด่นเล็กแบบในรูป น่าจะดูตั้งใจและจำง่ายขึ้นมากค่ะ</x:v>
      </x:c>
      <x:c r="O59" s="32"/>
      <x:c r="P59" s="32" t="n">
        <x:v>0</x:v>
      </x:c>
      <x:c r="Q59" s="32" t="str"/>
      <x:c r="R59" s="32" t="str">
        <x:v>None</x:v>
      </x:c>
      <x:c r="S59" s="32" t="str">
        <x:v>30m</x:v>
      </x:c>
      <x:c r="T59" s="32" t="str">
        <x:f>IF(I59="Inconclusive","Inconclusive",IF(AND(OR(R59="User",R59="Mixed"),J59&lt;&gt;""),IF(R59="Mixed","Mixed Reply","Verified User Reply"),"No Verified User Reply"))</x:f>
        <x:v>No Verified User Reply</x:v>
      </x:c>
      <x:c r="U59" s="32" t="str">
        <x:v>BATCH-VERIFY-30M</x:v>
      </x:c>
      <x:c r="V59" s="32" t="str">
        <x:f>D59&amp;"|"&amp;S59</x:f>
        <x:v>IC-0028|30m</x:v>
      </x:c>
      <x:c r="W59" s="32" t="str">
        <x:f>I59</x:f>
        <x:v>Missing</x:v>
      </x:c>
      <x:c r="X59" s="32" t="str">
        <x:f>R59</x:f>
        <x:v>None</x:v>
      </x:c>
      <x:c r="Y59" s="33" t="str">
        <x:f>T59</x:f>
        <x:v>No Verified User Reply</x:v>
      </x:c>
    </x:row>
    <x:row r="60">
      <x:c r="A60" s="49" t="n">
        <x:v>46226</x:v>
      </x:c>
      <x:c r="B60" s="32" t="str">
        <x:v>12:00</x:v>
      </x:c>
      <x:c r="C60" s="52" t="n">
        <x:v>46225</x:v>
      </x:c>
      <x:c r="D60" s="32" t="str">
        <x:v>IC-0028</x:v>
      </x:c>
      <x:c r="E60" s="32" t="str">
        <x:v>Account Slot 8</x:v>
      </x:c>
      <x:c r="F60" s="32" t="str">
        <x:v>https://video.invalid/case/V0028</x:v>
      </x:c>
      <x:c r="G60" s="32" t="str">
        <x:v>creator_case_028</x:v>
      </x:c>
      <x:c r="H60" s="32" t="str">
        <x:v>Pending</x:v>
      </x:c>
      <x:c r="I60" s="32" t="str">
        <x:v>Visible</x:v>
      </x:c>
      <x:c r="J60" s="32" t="str">
        <x:v>EVD-SYN-0028-24H</x:v>
      </x:c>
      <x:c r="K60" s="32" t="str">
        <x:v>24h verification</x:v>
      </x:c>
      <x:c r="L60" s="32" t="str">
        <x:v>None</x:v>
      </x:c>
      <x:c r="M60" s="32" t="str">
        <x:v>Pass</x:v>
      </x:c>
      <x:c r="N60" s="32" t="str">
        <x:v>โทนเข้มแบบนี้ช่วยให้ลุคดูคมและน่าสนใจมาก blazer ทรงนี้ถ้ามีจุดเด่นเล็กแบบในรูป น่าจะดูตั้งใจและจำง่ายขึ้นมากค่ะ</x:v>
      </x:c>
      <x:c r="O60" s="32" t="str">
        <x:v>โทนเข้มแบบนี้ช่วยให้ลุคดูคมและน่าสนใจมาก blazer ทรงนี้ถ้ามีจุดเด่นเล็กแบบในรูป น่าจะดูตั้งใจและจำง่ายขึ้นมากค่ะ</x:v>
      </x:c>
      <x:c r="P60" s="32" t="n">
        <x:v>0</x:v>
      </x:c>
      <x:c r="Q60" s="32" t="str"/>
      <x:c r="R60" s="32" t="str">
        <x:v>None</x:v>
      </x:c>
      <x:c r="S60" s="32" t="str">
        <x:v>24h</x:v>
      </x:c>
      <x:c r="T60" s="32" t="str">
        <x:f>IF(I60="Inconclusive","Inconclusive",IF(AND(OR(R60="User",R60="Mixed"),J60&lt;&gt;""),IF(R60="Mixed","Mixed Reply","Verified User Reply"),"No Verified User Reply"))</x:f>
        <x:v>No Verified User Reply</x:v>
      </x:c>
      <x:c r="U60" s="32" t="str">
        <x:v>BATCH-VERIFY-24H</x:v>
      </x:c>
      <x:c r="V60" s="32" t="str">
        <x:f>D60&amp;"|"&amp;S60</x:f>
        <x:v>IC-0028|24h</x:v>
      </x:c>
      <x:c r="W60" s="32" t="str">
        <x:f>I60</x:f>
        <x:v>Visible</x:v>
      </x:c>
      <x:c r="X60" s="32" t="str">
        <x:f>R60</x:f>
        <x:v>None</x:v>
      </x:c>
      <x:c r="Y60" s="33" t="str">
        <x:f>T60</x:f>
        <x:v>No Verified User Reply</x:v>
      </x:c>
    </x:row>
    <x:row r="61">
      <x:c r="A61" s="49" t="n">
        <x:v>46225</x:v>
      </x:c>
      <x:c r="B61" s="32" t="str">
        <x:v>12:30</x:v>
      </x:c>
      <x:c r="C61" s="52" t="n">
        <x:v>46225</x:v>
      </x:c>
      <x:c r="D61" s="32" t="str">
        <x:v>IC-0029</x:v>
      </x:c>
      <x:c r="E61" s="32" t="str">
        <x:v>Account Slot 9</x:v>
      </x:c>
      <x:c r="F61" s="32" t="str">
        <x:v>https://video.invalid/case/V0029</x:v>
      </x:c>
      <x:c r="G61" s="32" t="str">
        <x:v>creator_case_029</x:v>
      </x:c>
      <x:c r="H61" s="32" t="str">
        <x:v>Pending</x:v>
      </x:c>
      <x:c r="I61" s="32" t="str">
        <x:v>Visible</x:v>
      </x:c>
      <x:c r="J61" s="32" t="str">
        <x:v>EVD-SYN-0029-30M</x:v>
      </x:c>
      <x:c r="K61" s="32" t="str">
        <x:v>30m verification</x:v>
      </x:c>
      <x:c r="L61" s="32" t="str">
        <x:v>None</x:v>
      </x:c>
      <x:c r="M61" s="32" t="str">
        <x:v>Pass</x:v>
      </x:c>
      <x:c r="N61" s="32" t="str">
        <x:v>เสื้อคลุมทรงนี้ช่วยให้ชุดดูนุ่มนวลขึ้นพอดีเลย ดีเทลกระดุมดอกไม้ตรงคอและปลายแขนแบบในรูปช่วยให้เสื้อเรียบดูมีเรื่องราวขึ้นเลย</x:v>
      </x:c>
      <x:c r="O61" s="32" t="str">
        <x:v>เสื้อคลุมทรงนี้ช่วยให้ชุดดูนุ่มนวลขึ้นพอดีเลย ดีเทลกระดุมดอกไม้ตรงคอและปลายแขนแบบในรูปช่วยให้เสื้อเรียบดูมีเรื่องราวขึ้นเลย</x:v>
      </x:c>
      <x:c r="P61" s="32" t="n">
        <x:v>1</x:v>
      </x:c>
      <x:c r="Q61" s="32" t="str">
        <x:v>Synthetic reply preview</x:v>
      </x:c>
      <x:c r="R61" s="32" t="str">
        <x:v>User</x:v>
      </x:c>
      <x:c r="S61" s="32" t="str">
        <x:v>30m</x:v>
      </x:c>
      <x:c r="T61" s="32" t="str">
        <x:f>IF(I61="Inconclusive","Inconclusive",IF(AND(OR(R61="User",R61="Mixed"),J61&lt;&gt;""),IF(R61="Mixed","Mixed Reply","Verified User Reply"),"No Verified User Reply"))</x:f>
        <x:v>Verified User Reply</x:v>
      </x:c>
      <x:c r="U61" s="32" t="str">
        <x:v>BATCH-VERIFY-30M</x:v>
      </x:c>
      <x:c r="V61" s="32" t="str">
        <x:f>D61&amp;"|"&amp;S61</x:f>
        <x:v>IC-0029|30m</x:v>
      </x:c>
      <x:c r="W61" s="32" t="str">
        <x:f>I61</x:f>
        <x:v>Visible</x:v>
      </x:c>
      <x:c r="X61" s="32" t="str">
        <x:f>R61</x:f>
        <x:v>User</x:v>
      </x:c>
      <x:c r="Y61" s="33" t="str">
        <x:f>T61</x:f>
        <x:v>Verified User Reply</x:v>
      </x:c>
    </x:row>
    <x:row r="62">
      <x:c r="A62" s="49" t="n">
        <x:v>46226</x:v>
      </x:c>
      <x:c r="B62" s="32" t="str">
        <x:v>12:00</x:v>
      </x:c>
      <x:c r="C62" s="52" t="n">
        <x:v>46225</x:v>
      </x:c>
      <x:c r="D62" s="32" t="str">
        <x:v>IC-0029</x:v>
      </x:c>
      <x:c r="E62" s="32" t="str">
        <x:v>Account Slot 9</x:v>
      </x:c>
      <x:c r="F62" s="32" t="str">
        <x:v>https://video.invalid/case/V0029</x:v>
      </x:c>
      <x:c r="G62" s="32" t="str">
        <x:v>creator_case_029</x:v>
      </x:c>
      <x:c r="H62" s="32" t="str">
        <x:v>Pending</x:v>
      </x:c>
      <x:c r="I62" s="32" t="str">
        <x:v>Visible</x:v>
      </x:c>
      <x:c r="J62" s="32" t="str">
        <x:v>EVD-SYN-0029-24H</x:v>
      </x:c>
      <x:c r="K62" s="32" t="str">
        <x:v>24h verification</x:v>
      </x:c>
      <x:c r="L62" s="32" t="str">
        <x:v>None</x:v>
      </x:c>
      <x:c r="M62" s="32" t="str">
        <x:v>Pass</x:v>
      </x:c>
      <x:c r="N62" s="32" t="str">
        <x:v>เสื้อคลุมทรงนี้ช่วยให้ชุดดูนุ่มนวลขึ้นพอดีเลย ดีเทลกระดุมดอกไม้ตรงคอและปลายแขนแบบในรูปช่วยให้เสื้อเรียบดูมีเรื่องราวขึ้นเลย</x:v>
      </x:c>
      <x:c r="O62" s="32" t="str">
        <x:v>เสื้อคลุมทรงนี้ช่วยให้ชุดดูนุ่มนวลขึ้นพอดีเลย ดีเทลกระดุมดอกไม้ตรงคอและปลายแขนแบบในรูปช่วยให้เสื้อเรียบดูมีเรื่องราวขึ้นเลย</x:v>
      </x:c>
      <x:c r="P62" s="32" t="n">
        <x:v>1</x:v>
      </x:c>
      <x:c r="Q62" s="32" t="str">
        <x:v>Synthetic reply preview</x:v>
      </x:c>
      <x:c r="R62" s="32" t="str">
        <x:v>User</x:v>
      </x:c>
      <x:c r="S62" s="32" t="str">
        <x:v>24h</x:v>
      </x:c>
      <x:c r="T62" s="32" t="str">
        <x:f>IF(I62="Inconclusive","Inconclusive",IF(AND(OR(R62="User",R62="Mixed"),J62&lt;&gt;""),IF(R62="Mixed","Mixed Reply","Verified User Reply"),"No Verified User Reply"))</x:f>
        <x:v>Verified User Reply</x:v>
      </x:c>
      <x:c r="U62" s="32" t="str">
        <x:v>BATCH-VERIFY-24H</x:v>
      </x:c>
      <x:c r="V62" s="32" t="str">
        <x:f>D62&amp;"|"&amp;S62</x:f>
        <x:v>IC-0029|24h</x:v>
      </x:c>
      <x:c r="W62" s="32" t="str">
        <x:f>I62</x:f>
        <x:v>Visible</x:v>
      </x:c>
      <x:c r="X62" s="32" t="str">
        <x:f>R62</x:f>
        <x:v>User</x:v>
      </x:c>
      <x:c r="Y62" s="33" t="str">
        <x:f>T62</x:f>
        <x:v>Verified User Reply</x:v>
      </x:c>
    </x:row>
    <x:row r="63">
      <x:c r="A63" s="49" t="n">
        <x:v>46225</x:v>
      </x:c>
      <x:c r="B63" s="32" t="str">
        <x:v>12:30</x:v>
      </x:c>
      <x:c r="C63" s="52" t="n">
        <x:v>46225</x:v>
      </x:c>
      <x:c r="D63" s="32" t="str">
        <x:v>IC-0030</x:v>
      </x:c>
      <x:c r="E63" s="32" t="str">
        <x:v>Account Slot 10</x:v>
      </x:c>
      <x:c r="F63" s="32" t="str">
        <x:v>https://video.invalid/case/V0030</x:v>
      </x:c>
      <x:c r="G63" s="32" t="str">
        <x:v>creator_case_030</x:v>
      </x:c>
      <x:c r="H63" s="32" t="str">
        <x:v>Pending</x:v>
      </x:c>
      <x:c r="I63" s="32" t="str">
        <x:v>Visible</x:v>
      </x:c>
      <x:c r="J63" s="32" t="str">
        <x:v>EVD-SYN-0030-30M</x:v>
      </x:c>
      <x:c r="K63" s="32" t="str">
        <x:v>30m verification</x:v>
      </x:c>
      <x:c r="L63" s="32" t="str">
        <x:v>None</x:v>
      </x:c>
      <x:c r="M63" s="32" t="str">
        <x:v>Pass</x:v>
      </x:c>
      <x:c r="N63" s="32" t="str">
        <x:v>มู้ด working woman แบบนี้ดูแพงและมีคาแรกเตอร์มาก ถ้าจับคู่เบลเซอร์กับตัวครอบกระดุมโทนมุกแบบในรูป ลุคน่าจะ polished ขึ้นอีกนิด</x:v>
      </x:c>
      <x:c r="O63" s="32" t="str">
        <x:v>มู้ด working woman แบบนี้ดูแพงและมีคาแรกเตอร์มาก ถ้าจับคู่เบลเซอร์กับตัวครอบกระดุมโทนมุกแบบในรูป ลุคน่าจะ polished ขึ้นอีกนิด</x:v>
      </x:c>
      <x:c r="P63" s="32" t="n">
        <x:v>0</x:v>
      </x:c>
      <x:c r="Q63" s="32" t="str"/>
      <x:c r="R63" s="32" t="str">
        <x:v>None</x:v>
      </x:c>
      <x:c r="S63" s="32" t="str">
        <x:v>30m</x:v>
      </x:c>
      <x:c r="T63" s="32" t="str">
        <x:f>IF(I63="Inconclusive","Inconclusive",IF(AND(OR(R63="User",R63="Mixed"),J63&lt;&gt;""),IF(R63="Mixed","Mixed Reply","Verified User Reply"),"No Verified User Reply"))</x:f>
        <x:v>No Verified User Reply</x:v>
      </x:c>
      <x:c r="U63" s="32" t="str">
        <x:v>BATCH-VERIFY-30M</x:v>
      </x:c>
      <x:c r="V63" s="32" t="str">
        <x:f>D63&amp;"|"&amp;S63</x:f>
        <x:v>IC-0030|30m</x:v>
      </x:c>
      <x:c r="W63" s="32" t="str">
        <x:f>I63</x:f>
        <x:v>Visible</x:v>
      </x:c>
      <x:c r="X63" s="32" t="str">
        <x:f>R63</x:f>
        <x:v>None</x:v>
      </x:c>
      <x:c r="Y63" s="33" t="str">
        <x:f>T63</x:f>
        <x:v>No Verified User Reply</x:v>
      </x:c>
    </x:row>
    <x:row r="64">
      <x:c r="A64" s="49" t="n">
        <x:v>46226</x:v>
      </x:c>
      <x:c r="B64" s="32" t="str">
        <x:v>12:00</x:v>
      </x:c>
      <x:c r="C64" s="52" t="n">
        <x:v>46225</x:v>
      </x:c>
      <x:c r="D64" s="32" t="str">
        <x:v>IC-0030</x:v>
      </x:c>
      <x:c r="E64" s="32" t="str">
        <x:v>Account Slot 10</x:v>
      </x:c>
      <x:c r="F64" s="32" t="str">
        <x:v>https://video.invalid/case/V0030</x:v>
      </x:c>
      <x:c r="G64" s="32" t="str">
        <x:v>creator_case_030</x:v>
      </x:c>
      <x:c r="H64" s="32" t="str">
        <x:v>Pending</x:v>
      </x:c>
      <x:c r="I64" s="32" t="str">
        <x:v>Visible</x:v>
      </x:c>
      <x:c r="J64" s="32" t="str">
        <x:v>EVD-SYN-0030-24H</x:v>
      </x:c>
      <x:c r="K64" s="32" t="str">
        <x:v>24h verification</x:v>
      </x:c>
      <x:c r="L64" s="32" t="str">
        <x:v>None</x:v>
      </x:c>
      <x:c r="M64" s="32" t="str">
        <x:v>Pass</x:v>
      </x:c>
      <x:c r="N64" s="32" t="str">
        <x:v>มู้ด working woman แบบนี้ดูแพงและมีคาแรกเตอร์มาก ถ้าจับคู่เบลเซอร์กับตัวครอบกระดุมโทนมุกแบบในรูป ลุคน่าจะ polished ขึ้นอีกนิด</x:v>
      </x:c>
      <x:c r="O64" s="32" t="str">
        <x:v>มู้ด working woman แบบนี้ดูแพงและมีคาแรกเตอร์มาก ถ้าจับคู่เบลเซอร์กับตัวครอบกระดุมโทนมุกแบบในรูป ลุคน่าจะ polished ขึ้นอีกนิด</x:v>
      </x:c>
      <x:c r="P64" s="32" t="n">
        <x:v>0</x:v>
      </x:c>
      <x:c r="Q64" s="32" t="str"/>
      <x:c r="R64" s="32" t="str">
        <x:v>None</x:v>
      </x:c>
      <x:c r="S64" s="32" t="str">
        <x:v>24h</x:v>
      </x:c>
      <x:c r="T64" s="32" t="str">
        <x:f>IF(I64="Inconclusive","Inconclusive",IF(AND(OR(R64="User",R64="Mixed"),J64&lt;&gt;""),IF(R64="Mixed","Mixed Reply","Verified User Reply"),"No Verified User Reply"))</x:f>
        <x:v>No Verified User Reply</x:v>
      </x:c>
      <x:c r="U64" s="32" t="str">
        <x:v>BATCH-VERIFY-24H</x:v>
      </x:c>
      <x:c r="V64" s="32" t="str">
        <x:f>D64&amp;"|"&amp;S64</x:f>
        <x:v>IC-0030|24h</x:v>
      </x:c>
      <x:c r="W64" s="32" t="str">
        <x:f>I64</x:f>
        <x:v>Visible</x:v>
      </x:c>
      <x:c r="X64" s="32" t="str">
        <x:f>R64</x:f>
        <x:v>None</x:v>
      </x:c>
      <x:c r="Y64" s="33" t="str">
        <x:f>T64</x:f>
        <x:v>No Verified User Reply</x:v>
      </x:c>
    </x:row>
    <x:row r="65">
      <x:c r="A65" s="49" t="n">
        <x:v>46225</x:v>
      </x:c>
      <x:c r="B65" s="32" t="str">
        <x:v>12:30</x:v>
      </x:c>
      <x:c r="C65" s="52" t="n">
        <x:v>46225</x:v>
      </x:c>
      <x:c r="D65" s="32" t="str">
        <x:v>IC-0031</x:v>
      </x:c>
      <x:c r="E65" s="32" t="str">
        <x:v>Account Slot 1</x:v>
      </x:c>
      <x:c r="F65" s="32" t="str">
        <x:v>https://video.invalid/case/V0031</x:v>
      </x:c>
      <x:c r="G65" s="32" t="str">
        <x:v>creator_case_031</x:v>
      </x:c>
      <x:c r="H65" s="32" t="str">
        <x:v>Pending</x:v>
      </x:c>
      <x:c r="I65" s="32" t="str">
        <x:v>Visible</x:v>
      </x:c>
      <x:c r="J65" s="32" t="str">
        <x:v>EVD-SYN-0031-30M</x:v>
      </x:c>
      <x:c r="K65" s="32" t="str">
        <x:v>30m verification</x:v>
      </x:c>
      <x:c r="L65" s="32" t="str">
        <x:v>None</x:v>
      </x:c>
      <x:c r="M65" s="32" t="str">
        <x:v>Pass</x:v>
      </x:c>
      <x:c r="N65" s="32" t="str">
        <x:v>เสื้อไหมพรมลุคนี้ดูเรียบแต่มีเสน่ห์ดีค่ะ รายละเอียดเล็กตรงกระดุมแบบในรูปช่วยดึงสายตาให้ช่วงบนดูมีมิติมากขึ้นค่ะ</x:v>
      </x:c>
      <x:c r="O65" s="32" t="str">
        <x:v>เสื้อไหมพรมลุคนี้ดูเรียบแต่มีเสน่ห์ดีค่ะ รายละเอียดเล็กตรงกระดุมแบบในรูปช่วยดึงสายตาให้ช่วงบนดูมีมิติมากขึ้นค่ะ</x:v>
      </x:c>
      <x:c r="P65" s="32" t="n">
        <x:v>0</x:v>
      </x:c>
      <x:c r="Q65" s="32" t="str"/>
      <x:c r="R65" s="32" t="str">
        <x:v>None</x:v>
      </x:c>
      <x:c r="S65" s="32" t="str">
        <x:v>30m</x:v>
      </x:c>
      <x:c r="T65" s="32" t="str">
        <x:f>IF(I65="Inconclusive","Inconclusive",IF(AND(OR(R65="User",R65="Mixed"),J65&lt;&gt;""),IF(R65="Mixed","Mixed Reply","Verified User Reply"),"No Verified User Reply"))</x:f>
        <x:v>No Verified User Reply</x:v>
      </x:c>
      <x:c r="U65" s="32" t="str">
        <x:v>BATCH-VERIFY-30M</x:v>
      </x:c>
      <x:c r="V65" s="32" t="str">
        <x:f>D65&amp;"|"&amp;S65</x:f>
        <x:v>IC-0031|30m</x:v>
      </x:c>
      <x:c r="W65" s="32" t="str">
        <x:f>I65</x:f>
        <x:v>Visible</x:v>
      </x:c>
      <x:c r="X65" s="32" t="str">
        <x:f>R65</x:f>
        <x:v>None</x:v>
      </x:c>
      <x:c r="Y65" s="33" t="str">
        <x:f>T65</x:f>
        <x:v>No Verified User Reply</x:v>
      </x:c>
    </x:row>
    <x:row r="66">
      <x:c r="A66" s="49" t="n">
        <x:v>46226</x:v>
      </x:c>
      <x:c r="B66" s="32" t="str">
        <x:v>12:00</x:v>
      </x:c>
      <x:c r="C66" s="52" t="n">
        <x:v>46225</x:v>
      </x:c>
      <x:c r="D66" s="32" t="str">
        <x:v>IC-0031</x:v>
      </x:c>
      <x:c r="E66" s="32" t="str">
        <x:v>Account Slot 1</x:v>
      </x:c>
      <x:c r="F66" s="32" t="str">
        <x:v>https://video.invalid/case/V0031</x:v>
      </x:c>
      <x:c r="G66" s="32" t="str">
        <x:v>creator_case_031</x:v>
      </x:c>
      <x:c r="H66" s="32" t="str">
        <x:v>Pending</x:v>
      </x:c>
      <x:c r="I66" s="32" t="str">
        <x:v>Missing</x:v>
      </x:c>
      <x:c r="J66" s="32" t="str">
        <x:v>EVD-SYN-0031-24H</x:v>
      </x:c>
      <x:c r="K66" s="32" t="str">
        <x:v>24h verification</x:v>
      </x:c>
      <x:c r="L66" s="32" t="str">
        <x:v>None</x:v>
      </x:c>
      <x:c r="M66" s="32" t="str">
        <x:v>Pass</x:v>
      </x:c>
      <x:c r="N66" s="32" t="str">
        <x:v>เสื้อไหมพรมลุคนี้ดูเรียบแต่มีเสน่ห์ดีค่ะ รายละเอียดเล็กตรงกระดุมแบบในรูปช่วยดึงสายตาให้ช่วงบนดูมีมิติมากขึ้นค่ะ</x:v>
      </x:c>
      <x:c r="O66" s="32"/>
      <x:c r="P66" s="32" t="n">
        <x:v>0</x:v>
      </x:c>
      <x:c r="Q66" s="32" t="str"/>
      <x:c r="R66" s="32" t="str">
        <x:v>None</x:v>
      </x:c>
      <x:c r="S66" s="32" t="str">
        <x:v>24h</x:v>
      </x:c>
      <x:c r="T66" s="32" t="str">
        <x:f>IF(I66="Inconclusive","Inconclusive",IF(AND(OR(R66="User",R66="Mixed"),J66&lt;&gt;""),IF(R66="Mixed","Mixed Reply","Verified User Reply"),"No Verified User Reply"))</x:f>
        <x:v>No Verified User Reply</x:v>
      </x:c>
      <x:c r="U66" s="32" t="str">
        <x:v>BATCH-VERIFY-24H</x:v>
      </x:c>
      <x:c r="V66" s="32" t="str">
        <x:f>D66&amp;"|"&amp;S66</x:f>
        <x:v>IC-0031|24h</x:v>
      </x:c>
      <x:c r="W66" s="32" t="str">
        <x:f>I66</x:f>
        <x:v>Missing</x:v>
      </x:c>
      <x:c r="X66" s="32" t="str">
        <x:f>R66</x:f>
        <x:v>None</x:v>
      </x:c>
      <x:c r="Y66" s="33" t="str">
        <x:f>T66</x:f>
        <x:v>No Verified User Reply</x:v>
      </x:c>
    </x:row>
    <x:row r="67">
      <x:c r="A67" s="49" t="n">
        <x:v>46225</x:v>
      </x:c>
      <x:c r="B67" s="32" t="str">
        <x:v>12:30</x:v>
      </x:c>
      <x:c r="C67" s="52" t="n">
        <x:v>46225</x:v>
      </x:c>
      <x:c r="D67" s="32" t="str">
        <x:v>IC-0032</x:v>
      </x:c>
      <x:c r="E67" s="32" t="str">
        <x:v>Account Slot 2</x:v>
      </x:c>
      <x:c r="F67" s="32" t="str">
        <x:v>https://video.invalid/case/V0032</x:v>
      </x:c>
      <x:c r="G67" s="32" t="str">
        <x:v>creator_case_032</x:v>
      </x:c>
      <x:c r="H67" s="32" t="str">
        <x:v>Pending</x:v>
      </x:c>
      <x:c r="I67" s="32" t="str">
        <x:v>Visible</x:v>
      </x:c>
      <x:c r="J67" s="32" t="str">
        <x:v>EVD-SYN-0032-30M</x:v>
      </x:c>
      <x:c r="K67" s="32" t="str">
        <x:v>30m verification</x:v>
      </x:c>
      <x:c r="L67" s="32" t="str">
        <x:v>None</x:v>
      </x:c>
      <x:c r="M67" s="32" t="str">
        <x:v>Pass</x:v>
      </x:c>
      <x:c r="N67" s="32" t="str">
        <x:v>ภาพรวมของ office look นี้ดูตั้งใจแบบไม่เยอะเกินไปค่ะ ถ้าเล่นลูกเล่นกระดุมดอกไม้เล็ก ๆ แบบในรูป ช่วงบนของลุคน่าจะเด่นขึ้นพอดีค่ะ</x:v>
      </x:c>
      <x:c r="O67" s="32" t="str">
        <x:v>ภาพรวมของ office look นี้ดูตั้งใจแบบไม่เยอะเกินไปค่ะ ถ้าเล่นลูกเล่นกระดุมดอกไม้เล็ก ๆ แบบในรูป ช่วงบนของลุคน่าจะเด่นขึ้นพอดีค่ะ</x:v>
      </x:c>
      <x:c r="P67" s="32" t="n">
        <x:v>0</x:v>
      </x:c>
      <x:c r="Q67" s="32" t="str"/>
      <x:c r="R67" s="32" t="str">
        <x:v>None</x:v>
      </x:c>
      <x:c r="S67" s="32" t="str">
        <x:v>30m</x:v>
      </x:c>
      <x:c r="T67" s="32" t="str">
        <x:f>IF(I67="Inconclusive","Inconclusive",IF(AND(OR(R67="User",R67="Mixed"),J67&lt;&gt;""),IF(R67="Mixed","Mixed Reply","Verified User Reply"),"No Verified User Reply"))</x:f>
        <x:v>No Verified User Reply</x:v>
      </x:c>
      <x:c r="U67" s="32" t="str">
        <x:v>BATCH-VERIFY-30M</x:v>
      </x:c>
      <x:c r="V67" s="32" t="str">
        <x:f>D67&amp;"|"&amp;S67</x:f>
        <x:v>IC-0032|30m</x:v>
      </x:c>
      <x:c r="W67" s="32" t="str">
        <x:f>I67</x:f>
        <x:v>Visible</x:v>
      </x:c>
      <x:c r="X67" s="32" t="str">
        <x:f>R67</x:f>
        <x:v>None</x:v>
      </x:c>
      <x:c r="Y67" s="33" t="str">
        <x:f>T67</x:f>
        <x:v>No Verified User Reply</x:v>
      </x:c>
    </x:row>
    <x:row r="68">
      <x:c r="A68" s="49" t="n">
        <x:v>46226</x:v>
      </x:c>
      <x:c r="B68" s="32" t="str">
        <x:v>12:00</x:v>
      </x:c>
      <x:c r="C68" s="52" t="n">
        <x:v>46225</x:v>
      </x:c>
      <x:c r="D68" s="32" t="str">
        <x:v>IC-0032</x:v>
      </x:c>
      <x:c r="E68" s="32" t="str">
        <x:v>Account Slot 2</x:v>
      </x:c>
      <x:c r="F68" s="32" t="str">
        <x:v>https://video.invalid/case/V0032</x:v>
      </x:c>
      <x:c r="G68" s="32" t="str">
        <x:v>creator_case_032</x:v>
      </x:c>
      <x:c r="H68" s="32" t="str">
        <x:v>Pending</x:v>
      </x:c>
      <x:c r="I68" s="32" t="str">
        <x:v>Visible</x:v>
      </x:c>
      <x:c r="J68" s="32" t="str">
        <x:v>EVD-SYN-0032-24H</x:v>
      </x:c>
      <x:c r="K68" s="32" t="str">
        <x:v>24h verification</x:v>
      </x:c>
      <x:c r="L68" s="32" t="str">
        <x:v>None</x:v>
      </x:c>
      <x:c r="M68" s="32" t="str">
        <x:v>Pass</x:v>
      </x:c>
      <x:c r="N68" s="32" t="str">
        <x:v>ภาพรวมของ office look นี้ดูตั้งใจแบบไม่เยอะเกินไปค่ะ ถ้าเล่นลูกเล่นกระดุมดอกไม้เล็ก ๆ แบบในรูป ช่วงบนของลุคน่าจะเด่นขึ้นพอดีค่ะ</x:v>
      </x:c>
      <x:c r="O68" s="32" t="str">
        <x:v>ภาพรวมของ office look นี้ดูตั้งใจแบบไม่เยอะเกินไปค่ะ ถ้าเล่นลูกเล่นกระดุมดอกไม้เล็ก ๆ แบบในรูป ช่วงบนของลุคน่าจะเด่นขึ้นพอดีค่ะ</x:v>
      </x:c>
      <x:c r="P68" s="32" t="n">
        <x:v>0</x:v>
      </x:c>
      <x:c r="Q68" s="32" t="str"/>
      <x:c r="R68" s="32" t="str">
        <x:v>None</x:v>
      </x:c>
      <x:c r="S68" s="32" t="str">
        <x:v>24h</x:v>
      </x:c>
      <x:c r="T68" s="32" t="str">
        <x:f>IF(I68="Inconclusive","Inconclusive",IF(AND(OR(R68="User",R68="Mixed"),J68&lt;&gt;""),IF(R68="Mixed","Mixed Reply","Verified User Reply"),"No Verified User Reply"))</x:f>
        <x:v>No Verified User Reply</x:v>
      </x:c>
      <x:c r="U68" s="32" t="str">
        <x:v>BATCH-VERIFY-24H</x:v>
      </x:c>
      <x:c r="V68" s="32" t="str">
        <x:f>D68&amp;"|"&amp;S68</x:f>
        <x:v>IC-0032|24h</x:v>
      </x:c>
      <x:c r="W68" s="32" t="str">
        <x:f>I68</x:f>
        <x:v>Visible</x:v>
      </x:c>
      <x:c r="X68" s="32" t="str">
        <x:f>R68</x:f>
        <x:v>None</x:v>
      </x:c>
      <x:c r="Y68" s="33" t="str">
        <x:f>T68</x:f>
        <x:v>No Verified User Reply</x:v>
      </x:c>
    </x:row>
    <x:row r="69">
      <x:c r="A69" s="49" t="n">
        <x:v>46225</x:v>
      </x:c>
      <x:c r="B69" s="32" t="str">
        <x:v>12:30</x:v>
      </x:c>
      <x:c r="C69" s="52" t="n">
        <x:v>46225</x:v>
      </x:c>
      <x:c r="D69" s="32" t="str">
        <x:v>IC-0033</x:v>
      </x:c>
      <x:c r="E69" s="32" t="str">
        <x:v>Account Slot 3</x:v>
      </x:c>
      <x:c r="F69" s="32" t="str">
        <x:v>https://video.invalid/case/V0033</x:v>
      </x:c>
      <x:c r="G69" s="32" t="str">
        <x:v>creator_case_033</x:v>
      </x:c>
      <x:c r="H69" s="32" t="str">
        <x:v>Pending</x:v>
      </x:c>
      <x:c r="I69" s="32" t="str">
        <x:v>Visible</x:v>
      </x:c>
      <x:c r="J69" s="32" t="str">
        <x:v>EVD-SYN-0033-30M</x:v>
      </x:c>
      <x:c r="K69" s="32" t="str">
        <x:v>30m verification</x:v>
      </x:c>
      <x:c r="L69" s="32" t="str">
        <x:v>None</x:v>
      </x:c>
      <x:c r="M69" s="32" t="str">
        <x:v>Pass</x:v>
      </x:c>
      <x:c r="N69" s="32" t="str">
        <x:v>ลุคทำงานนี้ดูสุภาพและใช้งานจริงได้มากค่ะ ตัวครอบกระดุมโทนมุกแบบในรูปเข้ากับลุคคลีนและไม่ทำให้ชุดดูแน่นเกินไป</x:v>
      </x:c>
      <x:c r="O69" s="32" t="str">
        <x:v>ลุคทำงานนี้ดูสุภาพและใช้งานจริงได้มากค่ะ ตัวครอบกระดุมโทนมุกแบบในรูปเข้ากับลุคคลีนและไม่ทำให้ชุดดูแน่นเกินไป</x:v>
      </x:c>
      <x:c r="P69" s="32" t="n">
        <x:v>0</x:v>
      </x:c>
      <x:c r="Q69" s="32" t="str"/>
      <x:c r="R69" s="32" t="str">
        <x:v>None</x:v>
      </x:c>
      <x:c r="S69" s="32" t="str">
        <x:v>30m</x:v>
      </x:c>
      <x:c r="T69" s="32" t="str">
        <x:f>IF(I69="Inconclusive","Inconclusive",IF(AND(OR(R69="User",R69="Mixed"),J69&lt;&gt;""),IF(R69="Mixed","Mixed Reply","Verified User Reply"),"No Verified User Reply"))</x:f>
        <x:v>No Verified User Reply</x:v>
      </x:c>
      <x:c r="U69" s="32" t="str">
        <x:v>BATCH-VERIFY-30M</x:v>
      </x:c>
      <x:c r="V69" s="32" t="str">
        <x:f>D69&amp;"|"&amp;S69</x:f>
        <x:v>IC-0033|30m</x:v>
      </x:c>
      <x:c r="W69" s="32" t="str">
        <x:f>I69</x:f>
        <x:v>Visible</x:v>
      </x:c>
      <x:c r="X69" s="32" t="str">
        <x:f>R69</x:f>
        <x:v>None</x:v>
      </x:c>
      <x:c r="Y69" s="33" t="str">
        <x:f>T69</x:f>
        <x:v>No Verified User Reply</x:v>
      </x:c>
    </x:row>
    <x:row r="70">
      <x:c r="A70" s="49" t="n">
        <x:v>46226</x:v>
      </x:c>
      <x:c r="B70" s="32" t="str">
        <x:v>12:00</x:v>
      </x:c>
      <x:c r="C70" s="52" t="n">
        <x:v>46225</x:v>
      </x:c>
      <x:c r="D70" s="32" t="str">
        <x:v>IC-0033</x:v>
      </x:c>
      <x:c r="E70" s="32" t="str">
        <x:v>Account Slot 3</x:v>
      </x:c>
      <x:c r="F70" s="32" t="str">
        <x:v>https://video.invalid/case/V0033</x:v>
      </x:c>
      <x:c r="G70" s="32" t="str">
        <x:v>creator_case_033</x:v>
      </x:c>
      <x:c r="H70" s="32" t="str">
        <x:v>Pending</x:v>
      </x:c>
      <x:c r="I70" s="32" t="str">
        <x:v>Visible</x:v>
      </x:c>
      <x:c r="J70" s="32" t="str">
        <x:v>EVD-SYN-0033-24H</x:v>
      </x:c>
      <x:c r="K70" s="32" t="str">
        <x:v>24h verification</x:v>
      </x:c>
      <x:c r="L70" s="32" t="str">
        <x:v>None</x:v>
      </x:c>
      <x:c r="M70" s="32" t="str">
        <x:v>Pass</x:v>
      </x:c>
      <x:c r="N70" s="32" t="str">
        <x:v>ลุคทำงานนี้ดูสุภาพและใช้งานจริงได้มากค่ะ ตัวครอบกระดุมโทนมุกแบบในรูปเข้ากับลุคคลีนและไม่ทำให้ชุดดูแน่นเกินไป</x:v>
      </x:c>
      <x:c r="O70" s="32" t="str">
        <x:v>ลุคทำงานนี้ดูสุภาพและใช้งานจริงได้มากค่ะ ตัวครอบกระดุมโทนมุกแบบในรูปเข้ากับลุคคลีนและไม่ทำให้ชุดดูแน่นเกินไป</x:v>
      </x:c>
      <x:c r="P70" s="32" t="n">
        <x:v>0</x:v>
      </x:c>
      <x:c r="Q70" s="32" t="str"/>
      <x:c r="R70" s="32" t="str">
        <x:v>None</x:v>
      </x:c>
      <x:c r="S70" s="32" t="str">
        <x:v>24h</x:v>
      </x:c>
      <x:c r="T70" s="32" t="str">
        <x:f>IF(I70="Inconclusive","Inconclusive",IF(AND(OR(R70="User",R70="Mixed"),J70&lt;&gt;""),IF(R70="Mixed","Mixed Reply","Verified User Reply"),"No Verified User Reply"))</x:f>
        <x:v>No Verified User Reply</x:v>
      </x:c>
      <x:c r="U70" s="32" t="str">
        <x:v>BATCH-VERIFY-24H</x:v>
      </x:c>
      <x:c r="V70" s="32" t="str">
        <x:f>D70&amp;"|"&amp;S70</x:f>
        <x:v>IC-0033|24h</x:v>
      </x:c>
      <x:c r="W70" s="32" t="str">
        <x:f>I70</x:f>
        <x:v>Visible</x:v>
      </x:c>
      <x:c r="X70" s="32" t="str">
        <x:f>R70</x:f>
        <x:v>None</x:v>
      </x:c>
      <x:c r="Y70" s="33" t="str">
        <x:f>T70</x:f>
        <x:v>No Verified User Reply</x:v>
      </x:c>
    </x:row>
    <x:row r="71">
      <x:c r="A71" s="49" t="n">
        <x:v>46225</x:v>
      </x:c>
      <x:c r="B71" s="32" t="str">
        <x:v>12:30</x:v>
      </x:c>
      <x:c r="C71" s="52" t="n">
        <x:v>46225</x:v>
      </x:c>
      <x:c r="D71" s="32" t="str">
        <x:v>IC-0034</x:v>
      </x:c>
      <x:c r="E71" s="32" t="str">
        <x:v>Account Slot 4</x:v>
      </x:c>
      <x:c r="F71" s="32" t="str">
        <x:v>https://video.invalid/case/V0034</x:v>
      </x:c>
      <x:c r="G71" s="32" t="str">
        <x:v>creator_case_034</x:v>
      </x:c>
      <x:c r="H71" s="32" t="str">
        <x:v>Pending</x:v>
      </x:c>
      <x:c r="I71" s="32" t="str">
        <x:v>Visible</x:v>
      </x:c>
      <x:c r="J71" s="32" t="str">
        <x:v>EVD-SYN-0034-30M</x:v>
      </x:c>
      <x:c r="K71" s="32" t="str">
        <x:v>30m verification</x:v>
      </x:c>
      <x:c r="L71" s="32" t="str">
        <x:v>None</x:v>
      </x:c>
      <x:c r="M71" s="32" t="str">
        <x:v>Pass</x:v>
      </x:c>
      <x:c r="N71" s="32" t="str">
        <x:v>ลุคประชุมนี้เรียบหรูและดูนำไปแต่งตามได้จริงค่ะ blazer ทรงนี้ถ้ามีจุดเด่นเล็กแบบในรูป น่าจะดูตั้งใจและจำง่ายขึ้นมากค่ะ</x:v>
      </x:c>
      <x:c r="O71" s="32" t="str">
        <x:v>ลุคประชุมนี้เรียบหรูและดูนำไปแต่งตามได้จริงค่ะ blazer ทรงนี้ถ้ามีจุดเด่นเล็กแบบในรูป น่าจะดูตั้งใจและจำง่ายขึ้นมากค่ะ</x:v>
      </x:c>
      <x:c r="P71" s="32" t="n">
        <x:v>1</x:v>
      </x:c>
      <x:c r="Q71" s="32" t="str">
        <x:v>Synthetic reply preview</x:v>
      </x:c>
      <x:c r="R71" s="32" t="str">
        <x:v>Creator</x:v>
      </x:c>
      <x:c r="S71" s="32" t="str">
        <x:v>30m</x:v>
      </x:c>
      <x:c r="T71" s="32" t="str">
        <x:f>IF(I71="Inconclusive","Inconclusive",IF(AND(OR(R71="User",R71="Mixed"),J71&lt;&gt;""),IF(R71="Mixed","Mixed Reply","Verified User Reply"),"No Verified User Reply"))</x:f>
        <x:v>No Verified User Reply</x:v>
      </x:c>
      <x:c r="U71" s="32" t="str">
        <x:v>BATCH-VERIFY-30M</x:v>
      </x:c>
      <x:c r="V71" s="32" t="str">
        <x:f>D71&amp;"|"&amp;S71</x:f>
        <x:v>IC-0034|30m</x:v>
      </x:c>
      <x:c r="W71" s="32" t="str">
        <x:f>I71</x:f>
        <x:v>Visible</x:v>
      </x:c>
      <x:c r="X71" s="32" t="str">
        <x:f>R71</x:f>
        <x:v>Creator</x:v>
      </x:c>
      <x:c r="Y71" s="33" t="str">
        <x:f>T71</x:f>
        <x:v>No Verified User Reply</x:v>
      </x:c>
    </x:row>
    <x:row r="72">
      <x:c r="A72" s="49" t="n">
        <x:v>46226</x:v>
      </x:c>
      <x:c r="B72" s="32" t="str">
        <x:v>12:00</x:v>
      </x:c>
      <x:c r="C72" s="52" t="n">
        <x:v>46225</x:v>
      </x:c>
      <x:c r="D72" s="32" t="str">
        <x:v>IC-0034</x:v>
      </x:c>
      <x:c r="E72" s="32" t="str">
        <x:v>Account Slot 4</x:v>
      </x:c>
      <x:c r="F72" s="32" t="str">
        <x:v>https://video.invalid/case/V0034</x:v>
      </x:c>
      <x:c r="G72" s="32" t="str">
        <x:v>creator_case_034</x:v>
      </x:c>
      <x:c r="H72" s="32" t="str">
        <x:v>Pending</x:v>
      </x:c>
      <x:c r="I72" s="32" t="str">
        <x:v>Visible</x:v>
      </x:c>
      <x:c r="J72" s="32" t="str">
        <x:v>EVD-SYN-0034-24H</x:v>
      </x:c>
      <x:c r="K72" s="32" t="str">
        <x:v>24h verification</x:v>
      </x:c>
      <x:c r="L72" s="32" t="str">
        <x:v>None</x:v>
      </x:c>
      <x:c r="M72" s="32" t="str">
        <x:v>Pass</x:v>
      </x:c>
      <x:c r="N72" s="32" t="str">
        <x:v>ลุคประชุมนี้เรียบหรูและดูนำไปแต่งตามได้จริงค่ะ blazer ทรงนี้ถ้ามีจุดเด่นเล็กแบบในรูป น่าจะดูตั้งใจและจำง่ายขึ้นมากค่ะ</x:v>
      </x:c>
      <x:c r="O72" s="32" t="str">
        <x:v>ลุคประชุมนี้เรียบหรูและดูนำไปแต่งตามได้จริงค่ะ blazer ทรงนี้ถ้ามีจุดเด่นเล็กแบบในรูป น่าจะดูตั้งใจและจำง่ายขึ้นมากค่ะ</x:v>
      </x:c>
      <x:c r="P72" s="32" t="n">
        <x:v>1</x:v>
      </x:c>
      <x:c r="Q72" s="32" t="str">
        <x:v>Synthetic reply preview</x:v>
      </x:c>
      <x:c r="R72" s="32" t="str">
        <x:v>Creator</x:v>
      </x:c>
      <x:c r="S72" s="32" t="str">
        <x:v>24h</x:v>
      </x:c>
      <x:c r="T72" s="32" t="str">
        <x:f>IF(I72="Inconclusive","Inconclusive",IF(AND(OR(R72="User",R72="Mixed"),J72&lt;&gt;""),IF(R72="Mixed","Mixed Reply","Verified User Reply"),"No Verified User Reply"))</x:f>
        <x:v>No Verified User Reply</x:v>
      </x:c>
      <x:c r="U72" s="32" t="str">
        <x:v>BATCH-VERIFY-24H</x:v>
      </x:c>
      <x:c r="V72" s="32" t="str">
        <x:f>D72&amp;"|"&amp;S72</x:f>
        <x:v>IC-0034|24h</x:v>
      </x:c>
      <x:c r="W72" s="32" t="str">
        <x:f>I72</x:f>
        <x:v>Visible</x:v>
      </x:c>
      <x:c r="X72" s="32" t="str">
        <x:f>R72</x:f>
        <x:v>Creator</x:v>
      </x:c>
      <x:c r="Y72" s="33" t="str">
        <x:f>T72</x:f>
        <x:v>No Verified User Reply</x:v>
      </x:c>
    </x:row>
    <x:row r="73">
      <x:c r="A73" s="49" t="n">
        <x:v>46225</x:v>
      </x:c>
      <x:c r="B73" s="32" t="str">
        <x:v>12:30</x:v>
      </x:c>
      <x:c r="C73" s="52" t="n">
        <x:v>46225</x:v>
      </x:c>
      <x:c r="D73" s="32" t="str">
        <x:v>IC-0035</x:v>
      </x:c>
      <x:c r="E73" s="32" t="str">
        <x:v>Account Slot 5</x:v>
      </x:c>
      <x:c r="F73" s="32" t="str">
        <x:v>https://video.invalid/case/V0035</x:v>
      </x:c>
      <x:c r="G73" s="32" t="str">
        <x:v>creator_case_035</x:v>
      </x:c>
      <x:c r="H73" s="32" t="str">
        <x:v>Pending</x:v>
      </x:c>
      <x:c r="I73" s="32" t="str">
        <x:v>Visible</x:v>
      </x:c>
      <x:c r="J73" s="32" t="str">
        <x:v>EVD-SYN-0035-30M</x:v>
      </x:c>
      <x:c r="K73" s="32" t="str">
        <x:v>30m verification</x:v>
      </x:c>
      <x:c r="L73" s="32" t="str">
        <x:v>None</x:v>
      </x:c>
      <x:c r="M73" s="32" t="str">
        <x:v>Pass</x:v>
      </x:c>
      <x:c r="N73" s="32" t="str">
        <x:v>เชิ้ตทรงนี้ดูเรียบร้อยและแมตช์ต่อได้ง่ายมากค่ะ พอมีตัวครอบกระดุมชิ้นเล็กแบบในรูป ช่วงคอกับข้อมือก็ดูตั้งใจขึ้นทันที</x:v>
      </x:c>
      <x:c r="O73" s="32" t="str">
        <x:v>เชิ้ตทรงนี้ดูเรียบร้อยและแมตช์ต่อได้ง่ายมากค่ะ พอมีตัวครอบกระดุมชิ้นเล็กแบบในรูป ช่วงคอกับข้อมือก็ดูตั้งใจขึ้นทันที</x:v>
      </x:c>
      <x:c r="P73" s="32" t="n">
        <x:v>0</x:v>
      </x:c>
      <x:c r="Q73" s="32" t="str"/>
      <x:c r="R73" s="32" t="str">
        <x:v>None</x:v>
      </x:c>
      <x:c r="S73" s="32" t="str">
        <x:v>30m</x:v>
      </x:c>
      <x:c r="T73" s="32" t="str">
        <x:f>IF(I73="Inconclusive","Inconclusive",IF(AND(OR(R73="User",R73="Mixed"),J73&lt;&gt;""),IF(R73="Mixed","Mixed Reply","Verified User Reply"),"No Verified User Reply"))</x:f>
        <x:v>No Verified User Reply</x:v>
      </x:c>
      <x:c r="U73" s="32" t="str">
        <x:v>BATCH-VERIFY-30M</x:v>
      </x:c>
      <x:c r="V73" s="32" t="str">
        <x:f>D73&amp;"|"&amp;S73</x:f>
        <x:v>IC-0035|30m</x:v>
      </x:c>
      <x:c r="W73" s="32" t="str">
        <x:f>I73</x:f>
        <x:v>Visible</x:v>
      </x:c>
      <x:c r="X73" s="32" t="str">
        <x:f>R73</x:f>
        <x:v>None</x:v>
      </x:c>
      <x:c r="Y73" s="33" t="str">
        <x:f>T73</x:f>
        <x:v>No Verified User Reply</x:v>
      </x:c>
    </x:row>
    <x:row r="74">
      <x:c r="A74" s="49" t="n">
        <x:v>46226</x:v>
      </x:c>
      <x:c r="B74" s="32" t="str">
        <x:v>12:00</x:v>
      </x:c>
      <x:c r="C74" s="52" t="n">
        <x:v>46225</x:v>
      </x:c>
      <x:c r="D74" s="32" t="str">
        <x:v>IC-0035</x:v>
      </x:c>
      <x:c r="E74" s="32" t="str">
        <x:v>Account Slot 5</x:v>
      </x:c>
      <x:c r="F74" s="32" t="str">
        <x:v>https://video.invalid/case/V0035</x:v>
      </x:c>
      <x:c r="G74" s="32" t="str">
        <x:v>creator_case_035</x:v>
      </x:c>
      <x:c r="H74" s="32" t="str">
        <x:v>Pending</x:v>
      </x:c>
      <x:c r="I74" s="32" t="str">
        <x:v>Visible</x:v>
      </x:c>
      <x:c r="J74" s="32" t="str">
        <x:v>EVD-SYN-0035-24H</x:v>
      </x:c>
      <x:c r="K74" s="32" t="str">
        <x:v>24h verification</x:v>
      </x:c>
      <x:c r="L74" s="32" t="str">
        <x:v>None</x:v>
      </x:c>
      <x:c r="M74" s="32" t="str">
        <x:v>Pass</x:v>
      </x:c>
      <x:c r="N74" s="32" t="str">
        <x:v>เชิ้ตทรงนี้ดูเรียบร้อยและแมตช์ต่อได้ง่ายมากค่ะ พอมีตัวครอบกระดุมชิ้นเล็กแบบในรูป ช่วงคอกับข้อมือก็ดูตั้งใจขึ้นทันที</x:v>
      </x:c>
      <x:c r="O74" s="32" t="str">
        <x:v>เชิ้ตทรงนี้ดูเรียบร้อยและแมตช์ต่อได้ง่ายมากค่ะ พอมีตัวครอบกระดุมชิ้นเล็กแบบในรูป ช่วงคอกับข้อมือก็ดูตั้งใจขึ้นทันที</x:v>
      </x:c>
      <x:c r="P74" s="32" t="n">
        <x:v>0</x:v>
      </x:c>
      <x:c r="Q74" s="32" t="str"/>
      <x:c r="R74" s="32" t="str">
        <x:v>None</x:v>
      </x:c>
      <x:c r="S74" s="32" t="str">
        <x:v>24h</x:v>
      </x:c>
      <x:c r="T74" s="32" t="str">
        <x:f>IF(I74="Inconclusive","Inconclusive",IF(AND(OR(R74="User",R74="Mixed"),J74&lt;&gt;""),IF(R74="Mixed","Mixed Reply","Verified User Reply"),"No Verified User Reply"))</x:f>
        <x:v>No Verified User Reply</x:v>
      </x:c>
      <x:c r="U74" s="32" t="str">
        <x:v>BATCH-VERIFY-24H</x:v>
      </x:c>
      <x:c r="V74" s="32" t="str">
        <x:f>D74&amp;"|"&amp;S74</x:f>
        <x:v>IC-0035|24h</x:v>
      </x:c>
      <x:c r="W74" s="32" t="str">
        <x:f>I74</x:f>
        <x:v>Visible</x:v>
      </x:c>
      <x:c r="X74" s="32" t="str">
        <x:f>R74</x:f>
        <x:v>None</x:v>
      </x:c>
      <x:c r="Y74" s="33" t="str">
        <x:f>T74</x:f>
        <x:v>No Verified User Reply</x:v>
      </x:c>
    </x:row>
    <x:row r="75">
      <x:c r="A75" s="49" t="n">
        <x:v>46225</x:v>
      </x:c>
      <x:c r="B75" s="32" t="str">
        <x:v>12:30</x:v>
      </x:c>
      <x:c r="C75" s="52" t="n">
        <x:v>46225</x:v>
      </x:c>
      <x:c r="D75" s="32" t="str">
        <x:v>IC-0036</x:v>
      </x:c>
      <x:c r="E75" s="32" t="str">
        <x:v>Account Slot 6</x:v>
      </x:c>
      <x:c r="F75" s="32" t="str">
        <x:v>https://video.invalid/case/V0036</x:v>
      </x:c>
      <x:c r="G75" s="32" t="str">
        <x:v>creator_case_036</x:v>
      </x:c>
      <x:c r="H75" s="32" t="str">
        <x:v>Pending</x:v>
      </x:c>
      <x:c r="I75" s="32" t="str">
        <x:v>Visible</x:v>
      </x:c>
      <x:c r="J75" s="32" t="str">
        <x:v>EVD-SYN-0036-30M</x:v>
      </x:c>
      <x:c r="K75" s="32" t="str">
        <x:v>30m verification</x:v>
      </x:c>
      <x:c r="L75" s="32" t="str">
        <x:v>None</x:v>
      </x:c>
      <x:c r="M75" s="32" t="str">
        <x:v>Pass</x:v>
      </x:c>
      <x:c r="N75" s="32" t="str">
        <x:v>ภาพรวมของ office look นี้ดูตั้งใจแบบไม่เยอะเกินไปค่ะ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75" s="32" t="str">
        <x:v>ภาพรวมของ office look นี้ดูตั้งใจแบบไม่เยอะเกินไปค่ะ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75" s="32" t="n">
        <x:v>1</x:v>
      </x:c>
      <x:c r="Q75" s="32" t="str">
        <x:v>Synthetic reply preview</x:v>
      </x:c>
      <x:c r="R75" s="32" t="str">
        <x:v>User</x:v>
      </x:c>
      <x:c r="S75" s="32" t="str">
        <x:v>30m</x:v>
      </x:c>
      <x:c r="T75" s="32" t="str">
        <x:f>IF(I75="Inconclusive","Inconclusive",IF(AND(OR(R75="User",R75="Mixed"),J75&lt;&gt;""),IF(R75="Mixed","Mixed Reply","Verified User Reply"),"No Verified User Reply"))</x:f>
        <x:v>Verified User Reply</x:v>
      </x:c>
      <x:c r="U75" s="32" t="str">
        <x:v>BATCH-VERIFY-30M</x:v>
      </x:c>
      <x:c r="V75" s="32" t="str">
        <x:f>D75&amp;"|"&amp;S75</x:f>
        <x:v>IC-0036|30m</x:v>
      </x:c>
      <x:c r="W75" s="32" t="str">
        <x:f>I75</x:f>
        <x:v>Visible</x:v>
      </x:c>
      <x:c r="X75" s="32" t="str">
        <x:f>R75</x:f>
        <x:v>User</x:v>
      </x:c>
      <x:c r="Y75" s="33" t="str">
        <x:f>T75</x:f>
        <x:v>Verified User Reply</x:v>
      </x:c>
    </x:row>
    <x:row r="76">
      <x:c r="A76" s="49" t="n">
        <x:v>46226</x:v>
      </x:c>
      <x:c r="B76" s="32" t="str">
        <x:v>12:00</x:v>
      </x:c>
      <x:c r="C76" s="52" t="n">
        <x:v>46225</x:v>
      </x:c>
      <x:c r="D76" s="32" t="str">
        <x:v>IC-0036</x:v>
      </x:c>
      <x:c r="E76" s="32" t="str">
        <x:v>Account Slot 6</x:v>
      </x:c>
      <x:c r="F76" s="32" t="str">
        <x:v>https://video.invalid/case/V0036</x:v>
      </x:c>
      <x:c r="G76" s="32" t="str">
        <x:v>creator_case_036</x:v>
      </x:c>
      <x:c r="H76" s="32" t="str">
        <x:v>Pending</x:v>
      </x:c>
      <x:c r="I76" s="32" t="str">
        <x:v>Missing</x:v>
      </x:c>
      <x:c r="J76" s="32" t="str">
        <x:v>EVD-SYN-0036-24H</x:v>
      </x:c>
      <x:c r="K76" s="32" t="str">
        <x:v>24h verification</x:v>
      </x:c>
      <x:c r="L76" s="32" t="str">
        <x:v>None</x:v>
      </x:c>
      <x:c r="M76" s="32" t="str">
        <x:v>Pass</x:v>
      </x:c>
      <x:c r="N76" s="32" t="str">
        <x:v>ภาพรวมของ office look นี้ดูตั้งใจแบบไม่เยอะเกินไปค่ะ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76" s="32"/>
      <x:c r="P76" s="32" t="n">
        <x:v>0</x:v>
      </x:c>
      <x:c r="Q76" s="32" t="str"/>
      <x:c r="R76" s="32" t="str">
        <x:v>None</x:v>
      </x:c>
      <x:c r="S76" s="32" t="str">
        <x:v>24h</x:v>
      </x:c>
      <x:c r="T76" s="32" t="str">
        <x:f>IF(I76="Inconclusive","Inconclusive",IF(AND(OR(R76="User",R76="Mixed"),J76&lt;&gt;""),IF(R76="Mixed","Mixed Reply","Verified User Reply"),"No Verified User Reply"))</x:f>
        <x:v>No Verified User Reply</x:v>
      </x:c>
      <x:c r="U76" s="32" t="str">
        <x:v>BATCH-VERIFY-24H</x:v>
      </x:c>
      <x:c r="V76" s="32" t="str">
        <x:f>D76&amp;"|"&amp;S76</x:f>
        <x:v>IC-0036|24h</x:v>
      </x:c>
      <x:c r="W76" s="32" t="str">
        <x:f>I76</x:f>
        <x:v>Missing</x:v>
      </x:c>
      <x:c r="X76" s="32" t="str">
        <x:f>R76</x:f>
        <x:v>None</x:v>
      </x:c>
      <x:c r="Y76" s="33" t="str">
        <x:f>T76</x:f>
        <x:v>No Verified User Reply</x:v>
      </x:c>
    </x:row>
    <x:row r="77">
      <x:c r="A77" s="49" t="n">
        <x:v>46225</x:v>
      </x:c>
      <x:c r="B77" s="32" t="str">
        <x:v>12:30</x:v>
      </x:c>
      <x:c r="C77" s="52" t="n">
        <x:v>46225</x:v>
      </x:c>
      <x:c r="D77" s="32" t="str">
        <x:v>IC-0037</x:v>
      </x:c>
      <x:c r="E77" s="32" t="str">
        <x:v>Account Slot 7</x:v>
      </x:c>
      <x:c r="F77" s="32" t="str">
        <x:v>https://video.invalid/case/V0037</x:v>
      </x:c>
      <x:c r="G77" s="32" t="str">
        <x:v>creator_case_037</x:v>
      </x:c>
      <x:c r="H77" s="32" t="str">
        <x:v>Pending</x:v>
      </x:c>
      <x:c r="I77" s="32" t="str">
        <x:v>Missing</x:v>
      </x:c>
      <x:c r="J77" s="32" t="str">
        <x:v>EVD-SYN-0037-30M</x:v>
      </x:c>
      <x:c r="K77" s="32" t="str">
        <x:v>30m verification</x:v>
      </x:c>
      <x:c r="L77" s="32" t="str">
        <x:v>None</x:v>
      </x:c>
      <x:c r="M77" s="32" t="str">
        <x:v>Pass</x:v>
      </x:c>
      <x:c r="N77" s="32" t="str">
        <x:v>คาร์ดิแกนลุคนี้ให้มู้ดละมุนและดูใส่สบายมากค่ะ รายละเอียดเล็กบนปกแบบในรูปช่วยเพิ่มคาแรกเตอร์ให้ลุคประชุมโดยยังดูสุภาพค่ะ</x:v>
      </x:c>
      <x:c r="O77" s="32"/>
      <x:c r="P77" s="32" t="n">
        <x:v>0</x:v>
      </x:c>
      <x:c r="Q77" s="32" t="str"/>
      <x:c r="R77" s="32" t="str">
        <x:v>None</x:v>
      </x:c>
      <x:c r="S77" s="32" t="str">
        <x:v>30m</x:v>
      </x:c>
      <x:c r="T77" s="32" t="str">
        <x:f>IF(I77="Inconclusive","Inconclusive",IF(AND(OR(R77="User",R77="Mixed"),J77&lt;&gt;""),IF(R77="Mixed","Mixed Reply","Verified User Reply"),"No Verified User Reply"))</x:f>
        <x:v>No Verified User Reply</x:v>
      </x:c>
      <x:c r="U77" s="32" t="str">
        <x:v>BATCH-VERIFY-30M</x:v>
      </x:c>
      <x:c r="V77" s="32" t="str">
        <x:f>D77&amp;"|"&amp;S77</x:f>
        <x:v>IC-0037|30m</x:v>
      </x:c>
      <x:c r="W77" s="32" t="str">
        <x:f>I77</x:f>
        <x:v>Missing</x:v>
      </x:c>
      <x:c r="X77" s="32" t="str">
        <x:f>R77</x:f>
        <x:v>None</x:v>
      </x:c>
      <x:c r="Y77" s="33" t="str">
        <x:f>T77</x:f>
        <x:v>No Verified User Reply</x:v>
      </x:c>
    </x:row>
    <x:row r="78">
      <x:c r="A78" s="49" t="n">
        <x:v>46226</x:v>
      </x:c>
      <x:c r="B78" s="32" t="str">
        <x:v>12:00</x:v>
      </x:c>
      <x:c r="C78" s="52" t="n">
        <x:v>46225</x:v>
      </x:c>
      <x:c r="D78" s="32" t="str">
        <x:v>IC-0037</x:v>
      </x:c>
      <x:c r="E78" s="32" t="str">
        <x:v>Account Slot 7</x:v>
      </x:c>
      <x:c r="F78" s="32" t="str">
        <x:v>https://video.invalid/case/V0037</x:v>
      </x:c>
      <x:c r="G78" s="32" t="str">
        <x:v>creator_case_037</x:v>
      </x:c>
      <x:c r="H78" s="32" t="str">
        <x:v>Pending</x:v>
      </x:c>
      <x:c r="I78" s="32" t="str">
        <x:v>Visible</x:v>
      </x:c>
      <x:c r="J78" s="32" t="str">
        <x:v>EVD-SYN-0037-24H</x:v>
      </x:c>
      <x:c r="K78" s="32" t="str">
        <x:v>24h verification</x:v>
      </x:c>
      <x:c r="L78" s="32" t="str">
        <x:v>None</x:v>
      </x:c>
      <x:c r="M78" s="32" t="str">
        <x:v>Pass</x:v>
      </x:c>
      <x:c r="N78" s="32" t="str">
        <x:v>คาร์ดิแกนลุคนี้ให้มู้ดละมุนและดูใส่สบายมากค่ะ รายละเอียดเล็กบนปกแบบในรูปช่วยเพิ่มคาแรกเตอร์ให้ลุคประชุมโดยยังดูสุภาพค่ะ</x:v>
      </x:c>
      <x:c r="O78" s="32" t="str">
        <x:v>คาร์ดิแกนลุคนี้ให้มู้ดละมุนและดูใส่สบายมากค่ะ รายละเอียดเล็กบนปกแบบในรูปช่วยเพิ่มคาแรกเตอร์ให้ลุคประชุมโดยยังดูสุภาพค่ะ</x:v>
      </x:c>
      <x:c r="P78" s="32" t="n">
        <x:v>0</x:v>
      </x:c>
      <x:c r="Q78" s="32" t="str"/>
      <x:c r="R78" s="32" t="str">
        <x:v>None</x:v>
      </x:c>
      <x:c r="S78" s="32" t="str">
        <x:v>24h</x:v>
      </x:c>
      <x:c r="T78" s="32" t="str">
        <x:f>IF(I78="Inconclusive","Inconclusive",IF(AND(OR(R78="User",R78="Mixed"),J78&lt;&gt;""),IF(R78="Mixed","Mixed Reply","Verified User Reply"),"No Verified User Reply"))</x:f>
        <x:v>No Verified User Reply</x:v>
      </x:c>
      <x:c r="U78" s="32" t="str">
        <x:v>BATCH-VERIFY-24H</x:v>
      </x:c>
      <x:c r="V78" s="32" t="str">
        <x:f>D78&amp;"|"&amp;S78</x:f>
        <x:v>IC-0037|24h</x:v>
      </x:c>
      <x:c r="W78" s="32" t="str">
        <x:f>I78</x:f>
        <x:v>Visible</x:v>
      </x:c>
      <x:c r="X78" s="32" t="str">
        <x:f>R78</x:f>
        <x:v>None</x:v>
      </x:c>
      <x:c r="Y78" s="33" t="str">
        <x:f>T78</x:f>
        <x:v>No Verified User Reply</x:v>
      </x:c>
    </x:row>
    <x:row r="79">
      <x:c r="A79" s="49" t="n">
        <x:v>46225</x:v>
      </x:c>
      <x:c r="B79" s="32" t="str">
        <x:v>12:30</x:v>
      </x:c>
      <x:c r="C79" s="52" t="n">
        <x:v>46225</x:v>
      </x:c>
      <x:c r="D79" s="32" t="str">
        <x:v>IC-0038</x:v>
      </x:c>
      <x:c r="E79" s="32" t="str">
        <x:v>Account Slot 8</x:v>
      </x:c>
      <x:c r="F79" s="32" t="str">
        <x:v>https://video.invalid/case/V0038</x:v>
      </x:c>
      <x:c r="G79" s="32" t="str">
        <x:v>creator_case_038</x:v>
      </x:c>
      <x:c r="H79" s="32" t="str">
        <x:v>Pending</x:v>
      </x:c>
      <x:c r="I79" s="32" t="str">
        <x:v>Visible</x:v>
      </x:c>
      <x:c r="J79" s="32" t="str">
        <x:v>EVD-SYN-0038-30M</x:v>
      </x:c>
      <x:c r="K79" s="32" t="str">
        <x:v>30m verification</x:v>
      </x:c>
      <x:c r="L79" s="32" t="str">
        <x:v>None</x:v>
      </x:c>
      <x:c r="M79" s="32" t="str">
        <x:v>Pass</x:v>
      </x:c>
      <x:c r="N79" s="32" t="str">
        <x:v>เบลเซอร์ลุคนี้ดูโปรและคุมโทนได้ดีมากค่ะ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O79" s="32" t="str">
        <x:v>เบลเซอร์ลุคนี้ดูโปรและคุมโทนได้ดีมากค่ะ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P79" s="32" t="n">
        <x:v>0</x:v>
      </x:c>
      <x:c r="Q79" s="32" t="str"/>
      <x:c r="R79" s="32" t="str">
        <x:v>None</x:v>
      </x:c>
      <x:c r="S79" s="32" t="str">
        <x:v>30m</x:v>
      </x:c>
      <x:c r="T79" s="32" t="str">
        <x:f>IF(I79="Inconclusive","Inconclusive",IF(AND(OR(R79="User",R79="Mixed"),J79&lt;&gt;""),IF(R79="Mixed","Mixed Reply","Verified User Reply"),"No Verified User Reply"))</x:f>
        <x:v>No Verified User Reply</x:v>
      </x:c>
      <x:c r="U79" s="32" t="str">
        <x:v>BATCH-VERIFY-30M</x:v>
      </x:c>
      <x:c r="V79" s="32" t="str">
        <x:f>D79&amp;"|"&amp;S79</x:f>
        <x:v>IC-0038|30m</x:v>
      </x:c>
      <x:c r="W79" s="32" t="str">
        <x:f>I79</x:f>
        <x:v>Visible</x:v>
      </x:c>
      <x:c r="X79" s="32" t="str">
        <x:f>R79</x:f>
        <x:v>None</x:v>
      </x:c>
      <x:c r="Y79" s="33" t="str">
        <x:f>T79</x:f>
        <x:v>No Verified User Reply</x:v>
      </x:c>
    </x:row>
    <x:row r="80">
      <x:c r="A80" s="49" t="n">
        <x:v>46226</x:v>
      </x:c>
      <x:c r="B80" s="32" t="str">
        <x:v>12:00</x:v>
      </x:c>
      <x:c r="C80" s="52" t="n">
        <x:v>46225</x:v>
      </x:c>
      <x:c r="D80" s="32" t="str">
        <x:v>IC-0038</x:v>
      </x:c>
      <x:c r="E80" s="32" t="str">
        <x:v>Account Slot 8</x:v>
      </x:c>
      <x:c r="F80" s="32" t="str">
        <x:v>https://video.invalid/case/V0038</x:v>
      </x:c>
      <x:c r="G80" s="32" t="str">
        <x:v>creator_case_038</x:v>
      </x:c>
      <x:c r="H80" s="32" t="str">
        <x:v>Pending</x:v>
      </x:c>
      <x:c r="I80" s="32" t="str">
        <x:v>Visible</x:v>
      </x:c>
      <x:c r="J80" s="32" t="str">
        <x:v>EVD-SYN-0038-24H</x:v>
      </x:c>
      <x:c r="K80" s="32" t="str">
        <x:v>24h verification</x:v>
      </x:c>
      <x:c r="L80" s="32" t="str">
        <x:v>None</x:v>
      </x:c>
      <x:c r="M80" s="32" t="str">
        <x:v>Pass</x:v>
      </x:c>
      <x:c r="N80" s="32" t="str">
        <x:v>เบลเซอร์ลุคนี้ดูโปรและคุมโทนได้ดีมากค่ะ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O80" s="32" t="str">
        <x:v>เบลเซอร์ลุคนี้ดูโปรและคุมโทนได้ดีมากค่ะ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P80" s="32" t="n">
        <x:v>0</x:v>
      </x:c>
      <x:c r="Q80" s="32" t="str"/>
      <x:c r="R80" s="32" t="str">
        <x:v>None</x:v>
      </x:c>
      <x:c r="S80" s="32" t="str">
        <x:v>24h</x:v>
      </x:c>
      <x:c r="T80" s="32" t="str">
        <x:f>IF(I80="Inconclusive","Inconclusive",IF(AND(OR(R80="User",R80="Mixed"),J80&lt;&gt;""),IF(R80="Mixed","Mixed Reply","Verified User Reply"),"No Verified User Reply"))</x:f>
        <x:v>No Verified User Reply</x:v>
      </x:c>
      <x:c r="U80" s="32" t="str">
        <x:v>BATCH-VERIFY-24H</x:v>
      </x:c>
      <x:c r="V80" s="32" t="str">
        <x:f>D80&amp;"|"&amp;S80</x:f>
        <x:v>IC-0038|24h</x:v>
      </x:c>
      <x:c r="W80" s="32" t="str">
        <x:f>I80</x:f>
        <x:v>Visible</x:v>
      </x:c>
      <x:c r="X80" s="32" t="str">
        <x:f>R80</x:f>
        <x:v>None</x:v>
      </x:c>
      <x:c r="Y80" s="33" t="str">
        <x:f>T80</x:f>
        <x:v>No Verified User Reply</x:v>
      </x:c>
    </x:row>
    <x:row r="81">
      <x:c r="A81" s="49" t="n">
        <x:v>46225</x:v>
      </x:c>
      <x:c r="B81" s="32" t="str">
        <x:v>12:30</x:v>
      </x:c>
      <x:c r="C81" s="52" t="n">
        <x:v>46225</x:v>
      </x:c>
      <x:c r="D81" s="32" t="str">
        <x:v>IC-0039</x:v>
      </x:c>
      <x:c r="E81" s="32" t="str">
        <x:v>Account Slot 9</x:v>
      </x:c>
      <x:c r="F81" s="32" t="str">
        <x:v>https://video.invalid/case/V0039</x:v>
      </x:c>
      <x:c r="G81" s="32" t="str">
        <x:v>creator_case_039</x:v>
      </x:c>
      <x:c r="H81" s="32" t="str">
        <x:v>Pending</x:v>
      </x:c>
      <x:c r="I81" s="32" t="str">
        <x:v>Visible</x:v>
      </x:c>
      <x:c r="J81" s="32" t="str">
        <x:v>EVD-SYN-0039-30M</x:v>
      </x:c>
      <x:c r="K81" s="32" t="str">
        <x:v>30m verification</x:v>
      </x:c>
      <x:c r="L81" s="32" t="str">
        <x:v>None</x:v>
      </x:c>
      <x:c r="M81" s="32" t="str">
        <x:v>Pass</x:v>
      </x:c>
      <x:c r="N81" s="32" t="str">
        <x:v>คาดิแกนตัวนี้ดูแมตช์ง่ายและใช้ได้หลายมู้ดมาก ลูกเล่นตรงแนวกระดุมแบบในรูปเพิ่มความหวานให้ลุคโดยยังดูสุภาพอยู่ค่ะ</x:v>
      </x:c>
      <x:c r="O81" s="32" t="str">
        <x:v>คาดิแกนตัวนี้ดูแมตช์ง่ายและใช้ได้หลายมู้ดมาก ลูกเล่นตรงแนวกระดุมแบบในรูปเพิ่มความหวานให้ลุคโดยยังดูสุภาพอยู่ค่ะ</x:v>
      </x:c>
      <x:c r="P81" s="32" t="n">
        <x:v>0</x:v>
      </x:c>
      <x:c r="Q81" s="32" t="str"/>
      <x:c r="R81" s="32" t="str">
        <x:v>None</x:v>
      </x:c>
      <x:c r="S81" s="32" t="str">
        <x:v>30m</x:v>
      </x:c>
      <x:c r="T81" s="32" t="str">
        <x:f>IF(I81="Inconclusive","Inconclusive",IF(AND(OR(R81="User",R81="Mixed"),J81&lt;&gt;""),IF(R81="Mixed","Mixed Reply","Verified User Reply"),"No Verified User Reply"))</x:f>
        <x:v>No Verified User Reply</x:v>
      </x:c>
      <x:c r="U81" s="32" t="str">
        <x:v>BATCH-VERIFY-30M</x:v>
      </x:c>
      <x:c r="V81" s="32" t="str">
        <x:f>D81&amp;"|"&amp;S81</x:f>
        <x:v>IC-0039|30m</x:v>
      </x:c>
      <x:c r="W81" s="32" t="str">
        <x:f>I81</x:f>
        <x:v>Visible</x:v>
      </x:c>
      <x:c r="X81" s="32" t="str">
        <x:f>R81</x:f>
        <x:v>None</x:v>
      </x:c>
      <x:c r="Y81" s="33" t="str">
        <x:f>T81</x:f>
        <x:v>No Verified User Reply</x:v>
      </x:c>
    </x:row>
    <x:row r="82">
      <x:c r="A82" s="49" t="n">
        <x:v>46226</x:v>
      </x:c>
      <x:c r="B82" s="32" t="str">
        <x:v>12:00</x:v>
      </x:c>
      <x:c r="C82" s="52" t="n">
        <x:v>46225</x:v>
      </x:c>
      <x:c r="D82" s="32" t="str">
        <x:v>IC-0039</x:v>
      </x:c>
      <x:c r="E82" s="32" t="str">
        <x:v>Account Slot 9</x:v>
      </x:c>
      <x:c r="F82" s="32" t="str">
        <x:v>https://video.invalid/case/V0039</x:v>
      </x:c>
      <x:c r="G82" s="32" t="str">
        <x:v>creator_case_039</x:v>
      </x:c>
      <x:c r="H82" s="32" t="str">
        <x:v>Pending</x:v>
      </x:c>
      <x:c r="I82" s="32" t="str">
        <x:v>Visible</x:v>
      </x:c>
      <x:c r="J82" s="32" t="str">
        <x:v>EVD-SYN-0039-24H</x:v>
      </x:c>
      <x:c r="K82" s="32" t="str">
        <x:v>24h verification</x:v>
      </x:c>
      <x:c r="L82" s="32" t="str">
        <x:v>None</x:v>
      </x:c>
      <x:c r="M82" s="32" t="str">
        <x:v>Pass</x:v>
      </x:c>
      <x:c r="N82" s="32" t="str">
        <x:v>คาดิแกนตัวนี้ดูแมตช์ง่ายและใช้ได้หลายมู้ดมาก ลูกเล่นตรงแนวกระดุมแบบในรูปเพิ่มความหวานให้ลุคโดยยังดูสุภาพอยู่ค่ะ</x:v>
      </x:c>
      <x:c r="O82" s="32" t="str">
        <x:v>คาดิแกนตัวนี้ดูแมตช์ง่ายและใช้ได้หลายมู้ดมาก ลูกเล่นตรงแนวกระดุมแบบในรูปเพิ่มความหวานให้ลุคโดยยังดูสุภาพอยู่ค่ะ</x:v>
      </x:c>
      <x:c r="P82" s="32" t="n">
        <x:v>0</x:v>
      </x:c>
      <x:c r="Q82" s="32" t="str"/>
      <x:c r="R82" s="32" t="str">
        <x:v>None</x:v>
      </x:c>
      <x:c r="S82" s="32" t="str">
        <x:v>24h</x:v>
      </x:c>
      <x:c r="T82" s="32" t="str">
        <x:f>IF(I82="Inconclusive","Inconclusive",IF(AND(OR(R82="User",R82="Mixed"),J82&lt;&gt;""),IF(R82="Mixed","Mixed Reply","Verified User Reply"),"No Verified User Reply"))</x:f>
        <x:v>No Verified User Reply</x:v>
      </x:c>
      <x:c r="U82" s="32" t="str">
        <x:v>BATCH-VERIFY-24H</x:v>
      </x:c>
      <x:c r="V82" s="32" t="str">
        <x:f>D82&amp;"|"&amp;S82</x:f>
        <x:v>IC-0039|24h</x:v>
      </x:c>
      <x:c r="W82" s="32" t="str">
        <x:f>I82</x:f>
        <x:v>Visible</x:v>
      </x:c>
      <x:c r="X82" s="32" t="str">
        <x:f>R82</x:f>
        <x:v>None</x:v>
      </x:c>
      <x:c r="Y82" s="33" t="str">
        <x:f>T82</x:f>
        <x:v>No Verified User Reply</x:v>
      </x:c>
    </x:row>
    <x:row r="83">
      <x:c r="A83" s="49" t="n">
        <x:v>46225</x:v>
      </x:c>
      <x:c r="B83" s="32" t="str">
        <x:v>12:30</x:v>
      </x:c>
      <x:c r="C83" s="52" t="n">
        <x:v>46225</x:v>
      </x:c>
      <x:c r="D83" s="32" t="str">
        <x:v>IC-0040</x:v>
      </x:c>
      <x:c r="E83" s="32" t="str">
        <x:v>Account Slot 10</x:v>
      </x:c>
      <x:c r="F83" s="32" t="str">
        <x:v>https://video.invalid/case/V0040</x:v>
      </x:c>
      <x:c r="G83" s="32" t="str">
        <x:v>creator_case_040</x:v>
      </x:c>
      <x:c r="H83" s="32" t="str">
        <x:v>Pending</x:v>
      </x:c>
      <x:c r="I83" s="32" t="str">
        <x:v>Visible</x:v>
      </x:c>
      <x:c r="J83" s="32" t="str">
        <x:v>EVD-SYN-0040-30M</x:v>
      </x:c>
      <x:c r="K83" s="32" t="str">
        <x:v>30m verification</x:v>
      </x:c>
      <x:c r="L83" s="32" t="str">
        <x:v>None</x:v>
      </x:c>
      <x:c r="M83" s="32" t="str">
        <x:v>Pass</x:v>
      </x:c>
      <x:c r="N83" s="32" t="str">
        <x:v>เสื้อทรงนี้ดูง่ายแต่พอแมตช์แล้วภาพรวมมีสไตล์มากค่ะ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83" s="32" t="str">
        <x:v>เสื้อทรงนี้ดูง่ายแต่พอแมตช์แล้วภาพรวมมีสไตล์มากค่ะ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83" s="32" t="n">
        <x:v>2</x:v>
      </x:c>
      <x:c r="Q83" s="32" t="str">
        <x:v>Synthetic reply preview</x:v>
      </x:c>
      <x:c r="R83" s="32" t="str">
        <x:v>Mixed</x:v>
      </x:c>
      <x:c r="S83" s="32" t="str">
        <x:v>30m</x:v>
      </x:c>
      <x:c r="T83" s="32" t="str">
        <x:f>IF(I83="Inconclusive","Inconclusive",IF(AND(OR(R83="User",R83="Mixed"),J83&lt;&gt;""),IF(R83="Mixed","Mixed Reply","Verified User Reply"),"No Verified User Reply"))</x:f>
        <x:v>Mixed Reply</x:v>
      </x:c>
      <x:c r="U83" s="32" t="str">
        <x:v>BATCH-VERIFY-30M</x:v>
      </x:c>
      <x:c r="V83" s="32" t="str">
        <x:f>D83&amp;"|"&amp;S83</x:f>
        <x:v>IC-0040|30m</x:v>
      </x:c>
      <x:c r="W83" s="32" t="str">
        <x:f>I83</x:f>
        <x:v>Visible</x:v>
      </x:c>
      <x:c r="X83" s="32" t="str">
        <x:f>R83</x:f>
        <x:v>Mixed</x:v>
      </x:c>
      <x:c r="Y83" s="33" t="str">
        <x:f>T83</x:f>
        <x:v>Mixed Reply</x:v>
      </x:c>
    </x:row>
    <x:row r="84">
      <x:c r="A84" s="49" t="n">
        <x:v>46226</x:v>
      </x:c>
      <x:c r="B84" s="32" t="str">
        <x:v>12:00</x:v>
      </x:c>
      <x:c r="C84" s="52" t="n">
        <x:v>46225</x:v>
      </x:c>
      <x:c r="D84" s="32" t="str">
        <x:v>IC-0040</x:v>
      </x:c>
      <x:c r="E84" s="32" t="str">
        <x:v>Account Slot 10</x:v>
      </x:c>
      <x:c r="F84" s="32" t="str">
        <x:v>https://video.invalid/case/V0040</x:v>
      </x:c>
      <x:c r="G84" s="32" t="str">
        <x:v>creator_case_040</x:v>
      </x:c>
      <x:c r="H84" s="32" t="str">
        <x:v>Pending</x:v>
      </x:c>
      <x:c r="I84" s="32" t="str">
        <x:v>Visible</x:v>
      </x:c>
      <x:c r="J84" s="32" t="str">
        <x:v>EVD-SYN-0040-24H</x:v>
      </x:c>
      <x:c r="K84" s="32" t="str">
        <x:v>24h verification</x:v>
      </x:c>
      <x:c r="L84" s="32" t="str">
        <x:v>None</x:v>
      </x:c>
      <x:c r="M84" s="32" t="str">
        <x:v>Pass</x:v>
      </x:c>
      <x:c r="N84" s="32" t="str">
        <x:v>เสื้อทรงนี้ดูง่ายแต่พอแมตช์แล้วภาพรวมมีสไตล์มากค่ะ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84" s="32" t="str">
        <x:v>เสื้อทรงนี้ดูง่ายแต่พอแมตช์แล้วภาพรวมมีสไตล์มากค่ะ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84" s="32" t="n">
        <x:v>2</x:v>
      </x:c>
      <x:c r="Q84" s="32" t="str">
        <x:v>Synthetic reply preview</x:v>
      </x:c>
      <x:c r="R84" s="32" t="str">
        <x:v>Mixed</x:v>
      </x:c>
      <x:c r="S84" s="32" t="str">
        <x:v>24h</x:v>
      </x:c>
      <x:c r="T84" s="32" t="str">
        <x:f>IF(I84="Inconclusive","Inconclusive",IF(AND(OR(R84="User",R84="Mixed"),J84&lt;&gt;""),IF(R84="Mixed","Mixed Reply","Verified User Reply"),"No Verified User Reply"))</x:f>
        <x:v>Mixed Reply</x:v>
      </x:c>
      <x:c r="U84" s="32" t="str">
        <x:v>BATCH-VERIFY-24H</x:v>
      </x:c>
      <x:c r="V84" s="32" t="str">
        <x:f>D84&amp;"|"&amp;S84</x:f>
        <x:v>IC-0040|24h</x:v>
      </x:c>
      <x:c r="W84" s="32" t="str">
        <x:f>I84</x:f>
        <x:v>Visible</x:v>
      </x:c>
      <x:c r="X84" s="32" t="str">
        <x:f>R84</x:f>
        <x:v>Mixed</x:v>
      </x:c>
      <x:c r="Y84" s="33" t="str">
        <x:f>T84</x:f>
        <x:v>Mixed Reply</x:v>
      </x:c>
    </x:row>
    <x:row r="85">
      <x:c r="A85" s="49" t="n">
        <x:v>46225</x:v>
      </x:c>
      <x:c r="B85" s="32" t="str">
        <x:v>12:30</x:v>
      </x:c>
      <x:c r="C85" s="52" t="n">
        <x:v>46225</x:v>
      </x:c>
      <x:c r="D85" s="32" t="str">
        <x:v>IC-0041</x:v>
      </x:c>
      <x:c r="E85" s="32" t="str">
        <x:v>Account Slot 1</x:v>
      </x:c>
      <x:c r="F85" s="32" t="str">
        <x:v>https://video.invalid/case/V0041</x:v>
      </x:c>
      <x:c r="G85" s="32" t="str">
        <x:v>creator_case_041</x:v>
      </x:c>
      <x:c r="H85" s="32" t="str">
        <x:v>Pending</x:v>
      </x:c>
      <x:c r="I85" s="32" t="str">
        <x:v>Visible</x:v>
      </x:c>
      <x:c r="J85" s="32" t="str">
        <x:v>EVD-SYN-0041-30M</x:v>
      </x:c>
      <x:c r="K85" s="32" t="str">
        <x:v>30m verification</x:v>
      </x:c>
      <x:c r="L85" s="32" t="str">
        <x:v>None</x:v>
      </x:c>
      <x:c r="M85" s="32" t="str">
        <x:v>Pass</x:v>
      </x:c>
      <x:c r="N85" s="32" t="str">
        <x:v>เชิ้ตทรงนี้ดูเรียบร้อยและแมตช์ต่อได้ง่ายมากค่ะ รายละเอียดเล็กตรงกระดุมแบบในรูปช่วยดึงสายตาให้ช่วงบนดูมีมิติมากขึ้นค่ะ</x:v>
      </x:c>
      <x:c r="O85" s="32" t="str">
        <x:v>เชิ้ตทรงนี้ดูเรียบร้อยและแมตช์ต่อได้ง่ายมากค่ะ รายละเอียดเล็กตรงกระดุมแบบในรูปช่วยดึงสายตาให้ช่วงบนดูมีมิติมากขึ้นค่ะ</x:v>
      </x:c>
      <x:c r="P85" s="32" t="n">
        <x:v>0</x:v>
      </x:c>
      <x:c r="Q85" s="32" t="str"/>
      <x:c r="R85" s="32" t="str">
        <x:v>None</x:v>
      </x:c>
      <x:c r="S85" s="32" t="str">
        <x:v>30m</x:v>
      </x:c>
      <x:c r="T85" s="32" t="str">
        <x:f>IF(I85="Inconclusive","Inconclusive",IF(AND(OR(R85="User",R85="Mixed"),J85&lt;&gt;""),IF(R85="Mixed","Mixed Reply","Verified User Reply"),"No Verified User Reply"))</x:f>
        <x:v>No Verified User Reply</x:v>
      </x:c>
      <x:c r="U85" s="32" t="str">
        <x:v>BATCH-VERIFY-30M</x:v>
      </x:c>
      <x:c r="V85" s="32" t="str">
        <x:f>D85&amp;"|"&amp;S85</x:f>
        <x:v>IC-0041|30m</x:v>
      </x:c>
      <x:c r="W85" s="32" t="str">
        <x:f>I85</x:f>
        <x:v>Visible</x:v>
      </x:c>
      <x:c r="X85" s="32" t="str">
        <x:f>R85</x:f>
        <x:v>None</x:v>
      </x:c>
      <x:c r="Y85" s="33" t="str">
        <x:f>T85</x:f>
        <x:v>No Verified User Reply</x:v>
      </x:c>
    </x:row>
    <x:row r="86">
      <x:c r="A86" s="49" t="n">
        <x:v>46226</x:v>
      </x:c>
      <x:c r="B86" s="32" t="str">
        <x:v>12:00</x:v>
      </x:c>
      <x:c r="C86" s="52" t="n">
        <x:v>46225</x:v>
      </x:c>
      <x:c r="D86" s="32" t="str">
        <x:v>IC-0041</x:v>
      </x:c>
      <x:c r="E86" s="32" t="str">
        <x:v>Account Slot 1</x:v>
      </x:c>
      <x:c r="F86" s="32" t="str">
        <x:v>https://video.invalid/case/V0041</x:v>
      </x:c>
      <x:c r="G86" s="32" t="str">
        <x:v>creator_case_041</x:v>
      </x:c>
      <x:c r="H86" s="32" t="str">
        <x:v>Pending</x:v>
      </x:c>
      <x:c r="I86" s="32" t="str">
        <x:v>Missing</x:v>
      </x:c>
      <x:c r="J86" s="32" t="str">
        <x:v>EVD-SYN-0041-24H</x:v>
      </x:c>
      <x:c r="K86" s="32" t="str">
        <x:v>24h verification</x:v>
      </x:c>
      <x:c r="L86" s="32" t="str">
        <x:v>None</x:v>
      </x:c>
      <x:c r="M86" s="32" t="str">
        <x:v>Pass</x:v>
      </x:c>
      <x:c r="N86" s="32" t="str">
        <x:v>เชิ้ตทรงนี้ดูเรียบร้อยและแมตช์ต่อได้ง่ายมากค่ะ รายละเอียดเล็กตรงกระดุมแบบในรูปช่วยดึงสายตาให้ช่วงบนดูมีมิติมากขึ้นค่ะ</x:v>
      </x:c>
      <x:c r="O86" s="32"/>
      <x:c r="P86" s="32" t="n">
        <x:v>0</x:v>
      </x:c>
      <x:c r="Q86" s="32" t="str"/>
      <x:c r="R86" s="32" t="str">
        <x:v>None</x:v>
      </x:c>
      <x:c r="S86" s="32" t="str">
        <x:v>24h</x:v>
      </x:c>
      <x:c r="T86" s="32" t="str">
        <x:f>IF(I86="Inconclusive","Inconclusive",IF(AND(OR(R86="User",R86="Mixed"),J86&lt;&gt;""),IF(R86="Mixed","Mixed Reply","Verified User Reply"),"No Verified User Reply"))</x:f>
        <x:v>No Verified User Reply</x:v>
      </x:c>
      <x:c r="U86" s="32" t="str">
        <x:v>BATCH-VERIFY-24H</x:v>
      </x:c>
      <x:c r="V86" s="32" t="str">
        <x:f>D86&amp;"|"&amp;S86</x:f>
        <x:v>IC-0041|24h</x:v>
      </x:c>
      <x:c r="W86" s="32" t="str">
        <x:f>I86</x:f>
        <x:v>Missing</x:v>
      </x:c>
      <x:c r="X86" s="32" t="str">
        <x:f>R86</x:f>
        <x:v>None</x:v>
      </x:c>
      <x:c r="Y86" s="33" t="str">
        <x:f>T86</x:f>
        <x:v>No Verified User Reply</x:v>
      </x:c>
    </x:row>
    <x:row r="87">
      <x:c r="A87" s="49" t="n">
        <x:v>46225</x:v>
      </x:c>
      <x:c r="B87" s="32" t="str">
        <x:v>12:30</x:v>
      </x:c>
      <x:c r="C87" s="52" t="n">
        <x:v>46225</x:v>
      </x:c>
      <x:c r="D87" s="32" t="str">
        <x:v>IC-0042</x:v>
      </x:c>
      <x:c r="E87" s="32" t="str">
        <x:v>Account Slot 2</x:v>
      </x:c>
      <x:c r="F87" s="32" t="str">
        <x:v>https://video.invalid/case/V0042</x:v>
      </x:c>
      <x:c r="G87" s="32" t="str">
        <x:v>creator_case_042</x:v>
      </x:c>
      <x:c r="H87" s="32" t="str">
        <x:v>Pending</x:v>
      </x:c>
      <x:c r="I87" s="32" t="str">
        <x:v>Visible</x:v>
      </x:c>
      <x:c r="J87" s="32" t="str">
        <x:v>EVD-SYN-0042-30M</x:v>
      </x:c>
      <x:c r="K87" s="32" t="str">
        <x:v>30m verification</x:v>
      </x:c>
      <x:c r="L87" s="32" t="str">
        <x:v>None</x:v>
      </x:c>
      <x:c r="M87" s="32" t="str">
        <x:v>Pass</x:v>
      </x:c>
      <x:c r="N87" s="32" t="str">
        <x:v>เสื้อทรงนี้ดูง่ายแต่พอแมตช์แล้วภาพรวมมีสไตล์มากค่ะ เสื้อทรงนี้ถ้าเพิ่มตัวครอบกระดุมสีอ่อนแบบในรูป น่าจะดูหวานขึ้นโดยไม่หลุดโทนค่ะ</x:v>
      </x:c>
      <x:c r="O87" s="32" t="str">
        <x:v>เสื้อทรงนี้ดูง่ายแต่พอแมตช์แล้วภาพรวมมีสไตล์มากค่ะ เสื้อทรงนี้ถ้าเพิ่มตัวครอบกระดุมสีอ่อนแบบในรูป น่าจะดูหวานขึ้นโดยไม่หลุดโทนค่ะ</x:v>
      </x:c>
      <x:c r="P87" s="32" t="n">
        <x:v>0</x:v>
      </x:c>
      <x:c r="Q87" s="32" t="str"/>
      <x:c r="R87" s="32" t="str">
        <x:v>None</x:v>
      </x:c>
      <x:c r="S87" s="32" t="str">
        <x:v>30m</x:v>
      </x:c>
      <x:c r="T87" s="32" t="str">
        <x:f>IF(I87="Inconclusive","Inconclusive",IF(AND(OR(R87="User",R87="Mixed"),J87&lt;&gt;""),IF(R87="Mixed","Mixed Reply","Verified User Reply"),"No Verified User Reply"))</x:f>
        <x:v>No Verified User Reply</x:v>
      </x:c>
      <x:c r="U87" s="32" t="str">
        <x:v>BATCH-VERIFY-30M</x:v>
      </x:c>
      <x:c r="V87" s="32" t="str">
        <x:f>D87&amp;"|"&amp;S87</x:f>
        <x:v>IC-0042|30m</x:v>
      </x:c>
      <x:c r="W87" s="32" t="str">
        <x:f>I87</x:f>
        <x:v>Visible</x:v>
      </x:c>
      <x:c r="X87" s="32" t="str">
        <x:f>R87</x:f>
        <x:v>None</x:v>
      </x:c>
      <x:c r="Y87" s="33" t="str">
        <x:f>T87</x:f>
        <x:v>No Verified User Reply</x:v>
      </x:c>
    </x:row>
    <x:row r="88">
      <x:c r="A88" s="49" t="n">
        <x:v>46226</x:v>
      </x:c>
      <x:c r="B88" s="32" t="str">
        <x:v>12:00</x:v>
      </x:c>
      <x:c r="C88" s="52" t="n">
        <x:v>46225</x:v>
      </x:c>
      <x:c r="D88" s="32" t="str">
        <x:v>IC-0042</x:v>
      </x:c>
      <x:c r="E88" s="32" t="str">
        <x:v>Account Slot 2</x:v>
      </x:c>
      <x:c r="F88" s="32" t="str">
        <x:v>https://video.invalid/case/V0042</x:v>
      </x:c>
      <x:c r="G88" s="32" t="str">
        <x:v>creator_case_042</x:v>
      </x:c>
      <x:c r="H88" s="32" t="str">
        <x:v>Pending</x:v>
      </x:c>
      <x:c r="I88" s="32" t="str">
        <x:v>Visible</x:v>
      </x:c>
      <x:c r="J88" s="32" t="str">
        <x:v>EVD-SYN-0042-24H</x:v>
      </x:c>
      <x:c r="K88" s="32" t="str">
        <x:v>24h verification</x:v>
      </x:c>
      <x:c r="L88" s="32" t="str">
        <x:v>None</x:v>
      </x:c>
      <x:c r="M88" s="32" t="str">
        <x:v>Pass</x:v>
      </x:c>
      <x:c r="N88" s="32" t="str">
        <x:v>เสื้อทรงนี้ดูง่ายแต่พอแมตช์แล้วภาพรวมมีสไตล์มากค่ะ เสื้อทรงนี้ถ้าเพิ่มตัวครอบกระดุมสีอ่อนแบบในรูป น่าจะดูหวานขึ้นโดยไม่หลุดโทนค่ะ</x:v>
      </x:c>
      <x:c r="O88" s="32" t="str">
        <x:v>เสื้อทรงนี้ดูง่ายแต่พอแมตช์แล้วภาพรวมมีสไตล์มากค่ะ เสื้อทรงนี้ถ้าเพิ่มตัวครอบกระดุมสีอ่อนแบบในรูป น่าจะดูหวานขึ้นโดยไม่หลุดโทนค่ะ</x:v>
      </x:c>
      <x:c r="P88" s="32" t="n">
        <x:v>0</x:v>
      </x:c>
      <x:c r="Q88" s="32" t="str"/>
      <x:c r="R88" s="32" t="str">
        <x:v>None</x:v>
      </x:c>
      <x:c r="S88" s="32" t="str">
        <x:v>24h</x:v>
      </x:c>
      <x:c r="T88" s="32" t="str">
        <x:f>IF(I88="Inconclusive","Inconclusive",IF(AND(OR(R88="User",R88="Mixed"),J88&lt;&gt;""),IF(R88="Mixed","Mixed Reply","Verified User Reply"),"No Verified User Reply"))</x:f>
        <x:v>No Verified User Reply</x:v>
      </x:c>
      <x:c r="U88" s="32" t="str">
        <x:v>BATCH-VERIFY-24H</x:v>
      </x:c>
      <x:c r="V88" s="32" t="str">
        <x:f>D88&amp;"|"&amp;S88</x:f>
        <x:v>IC-0042|24h</x:v>
      </x:c>
      <x:c r="W88" s="32" t="str">
        <x:f>I88</x:f>
        <x:v>Visible</x:v>
      </x:c>
      <x:c r="X88" s="32" t="str">
        <x:f>R88</x:f>
        <x:v>None</x:v>
      </x:c>
      <x:c r="Y88" s="33" t="str">
        <x:f>T88</x:f>
        <x:v>No Verified User Reply</x:v>
      </x:c>
    </x:row>
    <x:row r="89">
      <x:c r="A89" s="49" t="n">
        <x:v>46225</x:v>
      </x:c>
      <x:c r="B89" s="32" t="str">
        <x:v>12:30</x:v>
      </x:c>
      <x:c r="C89" s="52" t="n">
        <x:v>46225</x:v>
      </x:c>
      <x:c r="D89" s="32" t="str">
        <x:v>IC-0043</x:v>
      </x:c>
      <x:c r="E89" s="32" t="str">
        <x:v>Account Slot 3</x:v>
      </x:c>
      <x:c r="F89" s="32" t="str">
        <x:v>https://video.invalid/case/V0043</x:v>
      </x:c>
      <x:c r="G89" s="32" t="str">
        <x:v>creator_case_043</x:v>
      </x:c>
      <x:c r="H89" s="32" t="str">
        <x:v>Pending</x:v>
      </x:c>
      <x:c r="I89" s="32" t="str">
        <x:v>Visible</x:v>
      </x:c>
      <x:c r="J89" s="32" t="str">
        <x:v>EVD-SYN-0043-30M</x:v>
      </x:c>
      <x:c r="K89" s="32" t="str">
        <x:v>30m verification</x:v>
      </x:c>
      <x:c r="L89" s="32" t="str">
        <x:v>None</x:v>
      </x:c>
      <x:c r="M89" s="32" t="str">
        <x:v>Pass</x:v>
      </x:c>
      <x:c r="N89" s="32" t="str">
        <x:v>ภาพรวมของ office look นี้ดูตั้งใจแบบไม่เยอะเกินไปค่ะ ดีเทลคอเสื้อกับปลายแขนแบบในรูปช่วยเปลี่ยนเสื้อตัวเดิมให้ดูพิเศษขึ้นพอดี</x:v>
      </x:c>
      <x:c r="O89" s="32" t="str">
        <x:v>ภาพรวมของ office look นี้ดูตั้งใจแบบไม่เยอะเกินไปค่ะ ดีเทลคอเสื้อกับปลายแขนแบบในรูปช่วยเปลี่ยนเสื้อตัวเดิมให้ดูพิเศษขึ้นพอดี</x:v>
      </x:c>
      <x:c r="P89" s="32" t="n">
        <x:v>1</x:v>
      </x:c>
      <x:c r="Q89" s="32" t="str">
        <x:v>Synthetic reply preview</x:v>
      </x:c>
      <x:c r="R89" s="32" t="str">
        <x:v>User</x:v>
      </x:c>
      <x:c r="S89" s="32" t="str">
        <x:v>30m</x:v>
      </x:c>
      <x:c r="T89" s="32" t="str">
        <x:f>IF(I89="Inconclusive","Inconclusive",IF(AND(OR(R89="User",R89="Mixed"),J89&lt;&gt;""),IF(R89="Mixed","Mixed Reply","Verified User Reply"),"No Verified User Reply"))</x:f>
        <x:v>Verified User Reply</x:v>
      </x:c>
      <x:c r="U89" s="32" t="str">
        <x:v>BATCH-VERIFY-30M</x:v>
      </x:c>
      <x:c r="V89" s="32" t="str">
        <x:f>D89&amp;"|"&amp;S89</x:f>
        <x:v>IC-0043|30m</x:v>
      </x:c>
      <x:c r="W89" s="32" t="str">
        <x:f>I89</x:f>
        <x:v>Visible</x:v>
      </x:c>
      <x:c r="X89" s="32" t="str">
        <x:f>R89</x:f>
        <x:v>User</x:v>
      </x:c>
      <x:c r="Y89" s="33" t="str">
        <x:f>T89</x:f>
        <x:v>Verified User Reply</x:v>
      </x:c>
    </x:row>
    <x:row r="90">
      <x:c r="A90" s="49" t="n">
        <x:v>46226</x:v>
      </x:c>
      <x:c r="B90" s="32" t="str">
        <x:v>12:00</x:v>
      </x:c>
      <x:c r="C90" s="52" t="n">
        <x:v>46225</x:v>
      </x:c>
      <x:c r="D90" s="32" t="str">
        <x:v>IC-0043</x:v>
      </x:c>
      <x:c r="E90" s="32" t="str">
        <x:v>Account Slot 3</x:v>
      </x:c>
      <x:c r="F90" s="32" t="str">
        <x:v>https://video.invalid/case/V0043</x:v>
      </x:c>
      <x:c r="G90" s="32" t="str">
        <x:v>creator_case_043</x:v>
      </x:c>
      <x:c r="H90" s="32" t="str">
        <x:v>Pending</x:v>
      </x:c>
      <x:c r="I90" s="32" t="str">
        <x:v>Visible</x:v>
      </x:c>
      <x:c r="J90" s="32" t="str">
        <x:v>EVD-SYN-0043-24H</x:v>
      </x:c>
      <x:c r="K90" s="32" t="str">
        <x:v>24h verification</x:v>
      </x:c>
      <x:c r="L90" s="32" t="str">
        <x:v>None</x:v>
      </x:c>
      <x:c r="M90" s="32" t="str">
        <x:v>Pass</x:v>
      </x:c>
      <x:c r="N90" s="32" t="str">
        <x:v>ภาพรวมของ office look นี้ดูตั้งใจแบบไม่เยอะเกินไปค่ะ ดีเทลคอเสื้อกับปลายแขนแบบในรูปช่วยเปลี่ยนเสื้อตัวเดิมให้ดูพิเศษขึ้นพอดี</x:v>
      </x:c>
      <x:c r="O90" s="32" t="str">
        <x:v>ภาพรวมของ office look นี้ดูตั้งใจแบบไม่เยอะเกินไปค่ะ ดีเทลคอเสื้อกับปลายแขนแบบในรูปช่วยเปลี่ยนเสื้อตัวเดิมให้ดูพิเศษขึ้นพอดี</x:v>
      </x:c>
      <x:c r="P90" s="32" t="n">
        <x:v>1</x:v>
      </x:c>
      <x:c r="Q90" s="32" t="str">
        <x:v>Synthetic reply preview</x:v>
      </x:c>
      <x:c r="R90" s="32" t="str">
        <x:v>User</x:v>
      </x:c>
      <x:c r="S90" s="32" t="str">
        <x:v>24h</x:v>
      </x:c>
      <x:c r="T90" s="32" t="str">
        <x:f>IF(I90="Inconclusive","Inconclusive",IF(AND(OR(R90="User",R90="Mixed"),J90&lt;&gt;""),IF(R90="Mixed","Mixed Reply","Verified User Reply"),"No Verified User Reply"))</x:f>
        <x:v>Verified User Reply</x:v>
      </x:c>
      <x:c r="U90" s="32" t="str">
        <x:v>BATCH-VERIFY-24H</x:v>
      </x:c>
      <x:c r="V90" s="32" t="str">
        <x:f>D90&amp;"|"&amp;S90</x:f>
        <x:v>IC-0043|24h</x:v>
      </x:c>
      <x:c r="W90" s="32" t="str">
        <x:f>I90</x:f>
        <x:v>Visible</x:v>
      </x:c>
      <x:c r="X90" s="32" t="str">
        <x:f>R90</x:f>
        <x:v>User</x:v>
      </x:c>
      <x:c r="Y90" s="33" t="str">
        <x:f>T90</x:f>
        <x:v>Verified User Reply</x:v>
      </x:c>
    </x:row>
    <x:row r="91">
      <x:c r="A91" s="49" t="n">
        <x:v>46225</x:v>
      </x:c>
      <x:c r="B91" s="32" t="str">
        <x:v>12:30</x:v>
      </x:c>
      <x:c r="C91" s="52" t="n">
        <x:v>46225</x:v>
      </x:c>
      <x:c r="D91" s="32" t="str">
        <x:v>IC-0044</x:v>
      </x:c>
      <x:c r="E91" s="32" t="str">
        <x:v>Account Slot 4</x:v>
      </x:c>
      <x:c r="F91" s="32" t="str">
        <x:v>https://video.invalid/case/V0044</x:v>
      </x:c>
      <x:c r="G91" s="32" t="str">
        <x:v>creator_case_044</x:v>
      </x:c>
      <x:c r="H91" s="32" t="str">
        <x:v>Pending</x:v>
      </x:c>
      <x:c r="I91" s="32" t="str">
        <x:v>Visible</x:v>
      </x:c>
      <x:c r="J91" s="32" t="str">
        <x:v>EVD-SYN-0044-30M</x:v>
      </x:c>
      <x:c r="K91" s="32" t="str">
        <x:v>30m verification</x:v>
      </x:c>
      <x:c r="L91" s="32" t="str">
        <x:v>None</x:v>
      </x:c>
      <x:c r="M91" s="32" t="str">
        <x:v>Pass</x:v>
      </x:c>
      <x:c r="N91" s="32" t="str">
        <x:v>ลุคคาร์ดิแกนนี้น่ารักและดูแต่งตามได้จริงมากค่ะ ถ้าเล่นลูกเล่นกระดุมดอกไม้เล็ก ๆ แบบในรูป ช่วงบนของลุคน่าจะเด่นขึ้นพอดีค่ะ</x:v>
      </x:c>
      <x:c r="O91" s="32" t="str">
        <x:v>ลุคคาร์ดิแกนนี้น่ารักและดูแต่งตามได้จริงมากค่ะ ถ้าเล่นลูกเล่นกระดุมดอกไม้เล็ก ๆ แบบในรูป ช่วงบนของลุคน่าจะเด่นขึ้นพอดีค่ะ</x:v>
      </x:c>
      <x:c r="P91" s="32" t="n">
        <x:v>0</x:v>
      </x:c>
      <x:c r="Q91" s="32" t="str"/>
      <x:c r="R91" s="32" t="str">
        <x:v>None</x:v>
      </x:c>
      <x:c r="S91" s="32" t="str">
        <x:v>30m</x:v>
      </x:c>
      <x:c r="T91" s="32" t="str">
        <x:f>IF(I91="Inconclusive","Inconclusive",IF(AND(OR(R91="User",R91="Mixed"),J91&lt;&gt;""),IF(R91="Mixed","Mixed Reply","Verified User Reply"),"No Verified User Reply"))</x:f>
        <x:v>No Verified User Reply</x:v>
      </x:c>
      <x:c r="U91" s="32" t="str">
        <x:v>BATCH-VERIFY-30M</x:v>
      </x:c>
      <x:c r="V91" s="32" t="str">
        <x:f>D91&amp;"|"&amp;S91</x:f>
        <x:v>IC-0044|30m</x:v>
      </x:c>
      <x:c r="W91" s="32" t="str">
        <x:f>I91</x:f>
        <x:v>Visible</x:v>
      </x:c>
      <x:c r="X91" s="32" t="str">
        <x:f>R91</x:f>
        <x:v>None</x:v>
      </x:c>
      <x:c r="Y91" s="33" t="str">
        <x:f>T91</x:f>
        <x:v>No Verified User Reply</x:v>
      </x:c>
    </x:row>
    <x:row r="92">
      <x:c r="A92" s="49" t="n">
        <x:v>46226</x:v>
      </x:c>
      <x:c r="B92" s="32" t="str">
        <x:v>12:00</x:v>
      </x:c>
      <x:c r="C92" s="52" t="n">
        <x:v>46225</x:v>
      </x:c>
      <x:c r="D92" s="32" t="str">
        <x:v>IC-0044</x:v>
      </x:c>
      <x:c r="E92" s="32" t="str">
        <x:v>Account Slot 4</x:v>
      </x:c>
      <x:c r="F92" s="32" t="str">
        <x:v>https://video.invalid/case/V0044</x:v>
      </x:c>
      <x:c r="G92" s="32" t="str">
        <x:v>creator_case_044</x:v>
      </x:c>
      <x:c r="H92" s="32" t="str">
        <x:v>Pending</x:v>
      </x:c>
      <x:c r="I92" s="32" t="str">
        <x:v>Visible</x:v>
      </x:c>
      <x:c r="J92" s="32" t="str">
        <x:v>EVD-SYN-0044-24H</x:v>
      </x:c>
      <x:c r="K92" s="32" t="str">
        <x:v>24h verification</x:v>
      </x:c>
      <x:c r="L92" s="32" t="str">
        <x:v>None</x:v>
      </x:c>
      <x:c r="M92" s="32" t="str">
        <x:v>Pass</x:v>
      </x:c>
      <x:c r="N92" s="32" t="str">
        <x:v>ลุคคาร์ดิแกนนี้น่ารักและดูแต่งตามได้จริงมากค่ะ ถ้าเล่นลูกเล่นกระดุมดอกไม้เล็ก ๆ แบบในรูป ช่วงบนของลุคน่าจะเด่นขึ้นพอดีค่ะ</x:v>
      </x:c>
      <x:c r="O92" s="32" t="str">
        <x:v>ลุคคาร์ดิแกนนี้น่ารักและดูแต่งตามได้จริงมากค่ะ ถ้าเล่นลูกเล่นกระดุมดอกไม้เล็ก ๆ แบบในรูป ช่วงบนของลุคน่าจะเด่นขึ้นพอดีค่ะ</x:v>
      </x:c>
      <x:c r="P92" s="32" t="n">
        <x:v>0</x:v>
      </x:c>
      <x:c r="Q92" s="32" t="str"/>
      <x:c r="R92" s="32" t="str"/>
      <x:c r="S92" s="32" t="str">
        <x:v>24h</x:v>
      </x:c>
      <x:c r="T92" s="32" t="str">
        <x:f>IF(I92="Inconclusive","Inconclusive",IF(AND(OR(R92="User",R92="Mixed"),J92&lt;&gt;""),IF(R92="Mixed","Mixed Reply","Verified User Reply"),"No Verified User Reply"))</x:f>
        <x:v>No Verified User Reply</x:v>
      </x:c>
      <x:c r="U92" s="32" t="str">
        <x:v>BATCH-VERIFY-24H</x:v>
      </x:c>
      <x:c r="V92" s="32" t="str">
        <x:f>D92&amp;"|"&amp;S92</x:f>
        <x:v>IC-0044|24h</x:v>
      </x:c>
      <x:c r="W92" s="32" t="str">
        <x:f>I92</x:f>
        <x:v>Visible</x:v>
      </x:c>
      <x:c r="X92" s="32" t="n">
        <x:f>R92</x:f>
        <x:v>0</x:v>
      </x:c>
      <x:c r="Y92" s="33" t="str">
        <x:f>T92</x:f>
        <x:v>No Verified User Reply</x:v>
      </x:c>
    </x:row>
    <x:row r="93">
      <x:c r="A93" s="49" t="n">
        <x:v>46225</x:v>
      </x:c>
      <x:c r="B93" s="32" t="str">
        <x:v>12:30</x:v>
      </x:c>
      <x:c r="C93" s="52" t="n">
        <x:v>46225</x:v>
      </x:c>
      <x:c r="D93" s="32" t="str">
        <x:v>IC-0045</x:v>
      </x:c>
      <x:c r="E93" s="32" t="str">
        <x:v>Account Slot 5</x:v>
      </x:c>
      <x:c r="F93" s="32" t="str">
        <x:v>https://video.invalid/case/V0045</x:v>
      </x:c>
      <x:c r="G93" s="32" t="str">
        <x:v>creator_case_045</x:v>
      </x:c>
      <x:c r="H93" s="32" t="str">
        <x:v>Pending</x:v>
      </x:c>
      <x:c r="I93" s="32" t="str">
        <x:v>Visible</x:v>
      </x:c>
      <x:c r="J93" s="32" t="str">
        <x:v>EVD-SYN-0045-30M</x:v>
      </x:c>
      <x:c r="K93" s="32" t="str">
        <x:v>30m verification</x:v>
      </x:c>
      <x:c r="L93" s="32" t="str">
        <x:v>None</x:v>
      </x:c>
      <x:c r="M93" s="32" t="str">
        <x:v>Pass</x:v>
      </x:c>
      <x:c r="N93" s="32" t="str">
        <x:v>ภาพรวมของ office look นี้ดูตั้งใจแบบไม่เยอะเกินไปค่ะ จุดเล็ก ๆ โทนชมพูแบบในรูปทำให้เสื้อขาวดูละมุนและแต่งสนุกขึ้นมาก</x:v>
      </x:c>
      <x:c r="O93" s="32" t="str">
        <x:v>ภาพรวมของ office look นี้ดูตั้งใจแบบไม่เยอะเกินไปค่ะ จุดเล็ก ๆ โทนชมพูแบบในรูปทำให้เสื้อขาวดูละมุนและแต่งสนุกขึ้นมาก</x:v>
      </x:c>
      <x:c r="P93" s="32" t="n">
        <x:v>1</x:v>
      </x:c>
      <x:c r="Q93" s="32" t="str">
        <x:v>Synthetic reply preview</x:v>
      </x:c>
      <x:c r="R93" s="32" t="str">
        <x:v>Creator</x:v>
      </x:c>
      <x:c r="S93" s="32" t="str">
        <x:v>30m</x:v>
      </x:c>
      <x:c r="T93" s="32" t="str">
        <x:f>IF(I93="Inconclusive","Inconclusive",IF(AND(OR(R93="User",R93="Mixed"),J93&lt;&gt;""),IF(R93="Mixed","Mixed Reply","Verified User Reply"),"No Verified User Reply"))</x:f>
        <x:v>No Verified User Reply</x:v>
      </x:c>
      <x:c r="U93" s="32" t="str">
        <x:v>BATCH-VERIFY-30M</x:v>
      </x:c>
      <x:c r="V93" s="32" t="str">
        <x:f>D93&amp;"|"&amp;S93</x:f>
        <x:v>IC-0045|30m</x:v>
      </x:c>
      <x:c r="W93" s="32" t="str">
        <x:f>I93</x:f>
        <x:v>Visible</x:v>
      </x:c>
      <x:c r="X93" s="32" t="str">
        <x:f>R93</x:f>
        <x:v>Creator</x:v>
      </x:c>
      <x:c r="Y93" s="33" t="str">
        <x:f>T93</x:f>
        <x:v>No Verified User Reply</x:v>
      </x:c>
    </x:row>
    <x:row r="94">
      <x:c r="A94" s="49" t="n">
        <x:v>46226</x:v>
      </x:c>
      <x:c r="B94" s="32" t="str">
        <x:v>12:00</x:v>
      </x:c>
      <x:c r="C94" s="52" t="n">
        <x:v>46225</x:v>
      </x:c>
      <x:c r="D94" s="32" t="str">
        <x:v>IC-0045</x:v>
      </x:c>
      <x:c r="E94" s="32" t="str">
        <x:v>Account Slot 5</x:v>
      </x:c>
      <x:c r="F94" s="32" t="str">
        <x:v>https://video.invalid/case/V0045</x:v>
      </x:c>
      <x:c r="G94" s="32" t="str">
        <x:v>creator_case_045</x:v>
      </x:c>
      <x:c r="H94" s="32" t="str">
        <x:v>Pending</x:v>
      </x:c>
      <x:c r="I94" s="32" t="str">
        <x:v>Visible</x:v>
      </x:c>
      <x:c r="J94" s="32" t="str">
        <x:v>EVD-SYN-0045-24H</x:v>
      </x:c>
      <x:c r="K94" s="32" t="str">
        <x:v>24h verification</x:v>
      </x:c>
      <x:c r="L94" s="32" t="str">
        <x:v>None</x:v>
      </x:c>
      <x:c r="M94" s="32" t="str">
        <x:v>Pass</x:v>
      </x:c>
      <x:c r="N94" s="32" t="str">
        <x:v>ภาพรวมของ office look นี้ดูตั้งใจแบบไม่เยอะเกินไปค่ะ จุดเล็ก ๆ โทนชมพูแบบในรูปทำให้เสื้อขาวดูละมุนและแต่งสนุกขึ้นมาก</x:v>
      </x:c>
      <x:c r="O94" s="32" t="str">
        <x:v>ภาพรวมของ office look นี้ดูตั้งใจแบบไม่เยอะเกินไปค่ะ จุดเล็ก ๆ โทนชมพูแบบในรูปทำให้เสื้อขาวดูละมุนและแต่งสนุกขึ้นมาก</x:v>
      </x:c>
      <x:c r="P94" s="32" t="n">
        <x:v>1</x:v>
      </x:c>
      <x:c r="Q94" s="32" t="str">
        <x:v>Synthetic reply preview</x:v>
      </x:c>
      <x:c r="R94" s="32" t="str">
        <x:v>Creator</x:v>
      </x:c>
      <x:c r="S94" s="32" t="str">
        <x:v>24h</x:v>
      </x:c>
      <x:c r="T94" s="32" t="str">
        <x:f>IF(I94="Inconclusive","Inconclusive",IF(AND(OR(R94="User",R94="Mixed"),J94&lt;&gt;""),IF(R94="Mixed","Mixed Reply","Verified User Reply"),"No Verified User Reply"))</x:f>
        <x:v>No Verified User Reply</x:v>
      </x:c>
      <x:c r="U94" s="32" t="str">
        <x:v>BATCH-VERIFY-24H</x:v>
      </x:c>
      <x:c r="V94" s="32" t="str">
        <x:f>D94&amp;"|"&amp;S94</x:f>
        <x:v>IC-0045|24h</x:v>
      </x:c>
      <x:c r="W94" s="32" t="str">
        <x:f>I94</x:f>
        <x:v>Visible</x:v>
      </x:c>
      <x:c r="X94" s="32" t="str">
        <x:f>R94</x:f>
        <x:v>Creator</x:v>
      </x:c>
      <x:c r="Y94" s="33" t="str">
        <x:f>T94</x:f>
        <x:v>No Verified User Reply</x:v>
      </x:c>
    </x:row>
    <x:row r="95">
      <x:c r="A95" s="49" t="n">
        <x:v>46225</x:v>
      </x:c>
      <x:c r="B95" s="32" t="str">
        <x:v>12:30</x:v>
      </x:c>
      <x:c r="C95" s="52" t="n">
        <x:v>46225</x:v>
      </x:c>
      <x:c r="D95" s="32" t="str">
        <x:v>IC-0046</x:v>
      </x:c>
      <x:c r="E95" s="32" t="str">
        <x:v>Account Slot 6</x:v>
      </x:c>
      <x:c r="F95" s="32" t="str">
        <x:v>https://video.invalid/case/V0046</x:v>
      </x:c>
      <x:c r="G95" s="32" t="str">
        <x:v>creator_case_046</x:v>
      </x:c>
      <x:c r="H95" s="32" t="str">
        <x:v>Pending</x:v>
      </x:c>
      <x:c r="I95" s="32" t="str">
        <x:v>Missing</x:v>
      </x:c>
      <x:c r="J95" s="32" t="str">
        <x:v>EVD-SYN-0046-30M</x:v>
      </x:c>
      <x:c r="K95" s="32" t="str">
        <x:v>30m verification</x:v>
      </x:c>
      <x:c r="L95" s="32" t="str">
        <x:v>None</x:v>
      </x:c>
      <x:c r="M95" s="32" t="str">
        <x:v>Pass</x:v>
      </x:c>
      <x:c r="N95" s="32" t="str">
        <x:v>กระดุมสวยมาก กระดุมสวยมาก กระดุมสวยมาก</x:v>
      </x:c>
      <x:c r="O95" s="32"/>
      <x:c r="P95" s="32" t="n">
        <x:v>0</x:v>
      </x:c>
      <x:c r="Q95" s="32" t="str"/>
      <x:c r="R95" s="32" t="str">
        <x:v>None</x:v>
      </x:c>
      <x:c r="S95" s="32" t="str">
        <x:v>30m</x:v>
      </x:c>
      <x:c r="T95" s="32" t="str">
        <x:f>IF(I95="Inconclusive","Inconclusive",IF(AND(OR(R95="User",R95="Mixed"),J95&lt;&gt;""),IF(R95="Mixed","Mixed Reply","Verified User Reply"),"No Verified User Reply"))</x:f>
        <x:v>No Verified User Reply</x:v>
      </x:c>
      <x:c r="U95" s="32" t="str">
        <x:v>BATCH-VERIFY-30M</x:v>
      </x:c>
      <x:c r="V95" s="32" t="str">
        <x:f>D95&amp;"|"&amp;S95</x:f>
        <x:v>IC-0046|30m</x:v>
      </x:c>
      <x:c r="W95" s="32" t="str">
        <x:f>I95</x:f>
        <x:v>Missing</x:v>
      </x:c>
      <x:c r="X95" s="32" t="str">
        <x:f>R95</x:f>
        <x:v>None</x:v>
      </x:c>
      <x:c r="Y95" s="33" t="str">
        <x:f>T95</x:f>
        <x:v>No Verified User Reply</x:v>
      </x:c>
    </x:row>
    <x:row r="96">
      <x:c r="A96" s="49" t="n">
        <x:v>46226</x:v>
      </x:c>
      <x:c r="B96" s="32" t="str">
        <x:v>12:00</x:v>
      </x:c>
      <x:c r="C96" s="52" t="n">
        <x:v>46225</x:v>
      </x:c>
      <x:c r="D96" s="32" t="str">
        <x:v>IC-0046</x:v>
      </x:c>
      <x:c r="E96" s="32" t="str">
        <x:v>Account Slot 6</x:v>
      </x:c>
      <x:c r="F96" s="32" t="str">
        <x:v>https://video.invalid/case/V0046</x:v>
      </x:c>
      <x:c r="G96" s="32" t="str">
        <x:v>creator_case_046</x:v>
      </x:c>
      <x:c r="H96" s="32" t="str">
        <x:v>Pending</x:v>
      </x:c>
      <x:c r="I96" s="32" t="str">
        <x:v>Missing</x:v>
      </x:c>
      <x:c r="J96" s="32" t="str">
        <x:v>EVD-SYN-0046-24H</x:v>
      </x:c>
      <x:c r="K96" s="32" t="str">
        <x:v>24h verification</x:v>
      </x:c>
      <x:c r="L96" s="32" t="str">
        <x:v>None</x:v>
      </x:c>
      <x:c r="M96" s="32" t="str">
        <x:v>Pass</x:v>
      </x:c>
      <x:c r="N96" s="32" t="str">
        <x:v>กระดุมสวยมาก กระดุมสวยมาก กระดุมสวยมาก</x:v>
      </x:c>
      <x:c r="O96" s="32"/>
      <x:c r="P96" s="32" t="n">
        <x:v>0</x:v>
      </x:c>
      <x:c r="Q96" s="32" t="str"/>
      <x:c r="R96" s="32" t="str">
        <x:v>None</x:v>
      </x:c>
      <x:c r="S96" s="32" t="str">
        <x:v>24h</x:v>
      </x:c>
      <x:c r="T96" s="32" t="str">
        <x:f>IF(I96="Inconclusive","Inconclusive",IF(AND(OR(R96="User",R96="Mixed"),J96&lt;&gt;""),IF(R96="Mixed","Mixed Reply","Verified User Reply"),"No Verified User Reply"))</x:f>
        <x:v>No Verified User Reply</x:v>
      </x:c>
      <x:c r="U96" s="32" t="str">
        <x:v>BATCH-VERIFY-24H</x:v>
      </x:c>
      <x:c r="V96" s="32" t="str">
        <x:f>D96&amp;"|"&amp;S96</x:f>
        <x:v>IC-0046|24h</x:v>
      </x:c>
      <x:c r="W96" s="32" t="str">
        <x:f>I96</x:f>
        <x:v>Missing</x:v>
      </x:c>
      <x:c r="X96" s="32" t="str">
        <x:f>R96</x:f>
        <x:v>None</x:v>
      </x:c>
      <x:c r="Y96" s="33" t="str">
        <x:f>T96</x:f>
        <x:v>No Verified User Reply</x:v>
      </x:c>
    </x:row>
    <x:row r="97">
      <x:c r="A97" s="49" t="n">
        <x:v>46225</x:v>
      </x:c>
      <x:c r="B97" s="32" t="str">
        <x:v>12:30</x:v>
      </x:c>
      <x:c r="C97" s="52" t="n">
        <x:v>46225</x:v>
      </x:c>
      <x:c r="D97" s="32" t="str">
        <x:v>IC-0047</x:v>
      </x:c>
      <x:c r="E97" s="32" t="str">
        <x:v>Account Slot 7</x:v>
      </x:c>
      <x:c r="F97" s="32" t="str">
        <x:v>https://video.invalid/case/V0047</x:v>
      </x:c>
      <x:c r="G97" s="32" t="str">
        <x:v>creator_case_047</x:v>
      </x:c>
      <x:c r="H97" s="32" t="str">
        <x:v>Pending</x:v>
      </x:c>
      <x:c r="I97" s="32" t="str">
        <x:v>Visible</x:v>
      </x:c>
      <x:c r="J97" s="32" t="str">
        <x:v>EVD-SYN-0047-30M</x:v>
      </x:c>
      <x:c r="K97" s="32" t="str">
        <x:v>30m verification</x:v>
      </x:c>
      <x:c r="L97" s="32" t="str">
        <x:v>None</x:v>
      </x:c>
      <x:c r="M97" s="32" t="str">
        <x:v>Pass</x:v>
      </x:c>
      <x:c r="N97" s="32" t="str">
        <x:v>เสื้อไหมพรมลุคนี้ดูเรียบแต่มีเสน่ห์ดีค่ะ ตัวครอบกระดุมโทนมุกแบบในรูปเข้ากับลุคคลีนและไม่ทำให้ชุดดูแน่นเกินไป</x:v>
      </x:c>
      <x:c r="O97" s="32" t="str">
        <x:v>เสื้อไหมพรมลุคนี้ดูเรียบแต่มีเสน่ห์ดีค่ะ ตัวครอบกระดุมโทนมุกแบบในรูปเข้ากับลุคคลีนและไม่ทำให้ชุดดูแน่นเกินไป</x:v>
      </x:c>
      <x:c r="P97" s="32" t="n">
        <x:v>0</x:v>
      </x:c>
      <x:c r="Q97" s="32" t="str"/>
      <x:c r="R97" s="32" t="str">
        <x:v>None</x:v>
      </x:c>
      <x:c r="S97" s="32" t="str">
        <x:v>30m</x:v>
      </x:c>
      <x:c r="T97" s="32" t="str">
        <x:f>IF(I97="Inconclusive","Inconclusive",IF(AND(OR(R97="User",R97="Mixed"),J97&lt;&gt;""),IF(R97="Mixed","Mixed Reply","Verified User Reply"),"No Verified User Reply"))</x:f>
        <x:v>No Verified User Reply</x:v>
      </x:c>
      <x:c r="U97" s="32" t="str">
        <x:v>BATCH-VERIFY-30M</x:v>
      </x:c>
      <x:c r="V97" s="32" t="str">
        <x:f>D97&amp;"|"&amp;S97</x:f>
        <x:v>IC-0047|30m</x:v>
      </x:c>
      <x:c r="W97" s="32" t="str">
        <x:f>I97</x:f>
        <x:v>Visible</x:v>
      </x:c>
      <x:c r="X97" s="32" t="str">
        <x:f>R97</x:f>
        <x:v>None</x:v>
      </x:c>
      <x:c r="Y97" s="33" t="str">
        <x:f>T97</x:f>
        <x:v>No Verified User Reply</x:v>
      </x:c>
    </x:row>
    <x:row r="98">
      <x:c r="A98" s="49" t="n">
        <x:v>46226</x:v>
      </x:c>
      <x:c r="B98" s="32" t="str">
        <x:v>12:00</x:v>
      </x:c>
      <x:c r="C98" s="52" t="n">
        <x:v>46225</x:v>
      </x:c>
      <x:c r="D98" s="32" t="str">
        <x:v>IC-0047</x:v>
      </x:c>
      <x:c r="E98" s="32" t="str">
        <x:v>Account Slot 7</x:v>
      </x:c>
      <x:c r="F98" s="32" t="str">
        <x:v>https://video.invalid/case/V0047</x:v>
      </x:c>
      <x:c r="G98" s="32" t="str">
        <x:v>creator_case_047</x:v>
      </x:c>
      <x:c r="H98" s="32" t="str">
        <x:v>Pending</x:v>
      </x:c>
      <x:c r="I98" s="32" t="str">
        <x:v>Visible</x:v>
      </x:c>
      <x:c r="J98" s="32" t="str">
        <x:v>EVD-SYN-0047-24H</x:v>
      </x:c>
      <x:c r="K98" s="32" t="str">
        <x:v>24h verification</x:v>
      </x:c>
      <x:c r="L98" s="32" t="str">
        <x:v>None</x:v>
      </x:c>
      <x:c r="M98" s="32" t="str">
        <x:v>Pass</x:v>
      </x:c>
      <x:c r="N98" s="32" t="str">
        <x:v>เสื้อไหมพรมลุคนี้ดูเรียบแต่มีเสน่ห์ดีค่ะ ตัวครอบกระดุมโทนมุกแบบในรูปเข้ากับลุคคลีนและไม่ทำให้ชุดดูแน่นเกินไป</x:v>
      </x:c>
      <x:c r="O98" s="32" t="str">
        <x:v>เสื้อไหมพรมลุคนี้ดูเรียบแต่มีเสน่ห์ดีค่ะ ตัวครอบกระดุมโทนมุกแบบในรูปเข้ากับลุคคลีนและไม่ทำให้ชุดดูแน่นเกินไป</x:v>
      </x:c>
      <x:c r="P98" s="32" t="n">
        <x:v>0</x:v>
      </x:c>
      <x:c r="Q98" s="32" t="str"/>
      <x:c r="R98" s="32" t="str">
        <x:v>None</x:v>
      </x:c>
      <x:c r="S98" s="32" t="str">
        <x:v>24h</x:v>
      </x:c>
      <x:c r="T98" s="32" t="str">
        <x:f>IF(I98="Inconclusive","Inconclusive",IF(AND(OR(R98="User",R98="Mixed"),J98&lt;&gt;""),IF(R98="Mixed","Mixed Reply","Verified User Reply"),"No Verified User Reply"))</x:f>
        <x:v>No Verified User Reply</x:v>
      </x:c>
      <x:c r="U98" s="32" t="str">
        <x:v>BATCH-VERIFY-24H</x:v>
      </x:c>
      <x:c r="V98" s="32" t="str">
        <x:f>D98&amp;"|"&amp;S98</x:f>
        <x:v>IC-0047|24h</x:v>
      </x:c>
      <x:c r="W98" s="32" t="str">
        <x:f>I98</x:f>
        <x:v>Visible</x:v>
      </x:c>
      <x:c r="X98" s="32" t="str">
        <x:f>R98</x:f>
        <x:v>None</x:v>
      </x:c>
      <x:c r="Y98" s="33" t="str">
        <x:f>T98</x:f>
        <x:v>No Verified User Reply</x:v>
      </x:c>
    </x:row>
    <x:row r="99">
      <x:c r="A99" s="49" t="n">
        <x:v>46225</x:v>
      </x:c>
      <x:c r="B99" s="32" t="str">
        <x:v>12:30</x:v>
      </x:c>
      <x:c r="C99" s="52" t="n">
        <x:v>46225</x:v>
      </x:c>
      <x:c r="D99" s="32" t="str">
        <x:v>IC-0048</x:v>
      </x:c>
      <x:c r="E99" s="32" t="str">
        <x:v>Account Slot 8</x:v>
      </x:c>
      <x:c r="F99" s="32" t="str">
        <x:v>https://video.invalid/case/V0048</x:v>
      </x:c>
      <x:c r="G99" s="32" t="str">
        <x:v>creator_case_048</x:v>
      </x:c>
      <x:c r="H99" s="32" t="str">
        <x:v>Pending</x:v>
      </x:c>
      <x:c r="I99" s="32" t="str">
        <x:v>Visible</x:v>
      </x:c>
      <x:c r="J99" s="32" t="str">
        <x:v>EVD-SYN-0048-30M</x:v>
      </x:c>
      <x:c r="K99" s="32" t="str">
        <x:v>30m verification</x:v>
      </x:c>
      <x:c r="L99" s="32" t="str">
        <x:v>None</x:v>
      </x:c>
      <x:c r="M99" s="32" t="str">
        <x:v>Pass</x:v>
      </x:c>
      <x:c r="N99" s="32" t="str">
        <x:v>คาดิแกนตัวนี้ดูแมตช์ง่ายและใช้ได้หลายมู้ดมาก ลุคนี้ลองเพิ่มดีเทลโทนมุกแบบในรูปเพียงหนึ่งถึงสองจุดก็น่าจะน่ารักขึ้นมาก</x:v>
      </x:c>
      <x:c r="O99" s="32" t="str">
        <x:v>คาดิแกนตัวนี้ดูแมตช์ง่ายและใช้ได้หลายมู้ดมาก ลุคนี้ลองเพิ่มดีเทลโทนมุกแบบในรูปเพียงหนึ่งถึงสองจุดก็น่าจะน่ารักขึ้นมาก</x:v>
      </x:c>
      <x:c r="P99" s="32" t="n">
        <x:v>0</x:v>
      </x:c>
      <x:c r="Q99" s="32" t="str"/>
      <x:c r="R99" s="32" t="str">
        <x:v>None</x:v>
      </x:c>
      <x:c r="S99" s="32" t="str">
        <x:v>30m</x:v>
      </x:c>
      <x:c r="T99" s="32" t="str">
        <x:f>IF(I99="Inconclusive","Inconclusive",IF(AND(OR(R99="User",R99="Mixed"),J99&lt;&gt;""),IF(R99="Mixed","Mixed Reply","Verified User Reply"),"No Verified User Reply"))</x:f>
        <x:v>No Verified User Reply</x:v>
      </x:c>
      <x:c r="U99" s="32" t="str">
        <x:v>BATCH-VERIFY-30M</x:v>
      </x:c>
      <x:c r="V99" s="32" t="str">
        <x:f>D99&amp;"|"&amp;S99</x:f>
        <x:v>IC-0048|30m</x:v>
      </x:c>
      <x:c r="W99" s="32" t="str">
        <x:f>I99</x:f>
        <x:v>Visible</x:v>
      </x:c>
      <x:c r="X99" s="32" t="str">
        <x:f>R99</x:f>
        <x:v>None</x:v>
      </x:c>
      <x:c r="Y99" s="33" t="str">
        <x:f>T99</x:f>
        <x:v>No Verified User Reply</x:v>
      </x:c>
    </x:row>
    <x:row r="100">
      <x:c r="A100" s="49" t="n">
        <x:v>46226</x:v>
      </x:c>
      <x:c r="B100" s="32" t="str">
        <x:v>12:00</x:v>
      </x:c>
      <x:c r="C100" s="52" t="n">
        <x:v>46225</x:v>
      </x:c>
      <x:c r="D100" s="32" t="str">
        <x:v>IC-0048</x:v>
      </x:c>
      <x:c r="E100" s="32" t="str">
        <x:v>Account Slot 8</x:v>
      </x:c>
      <x:c r="F100" s="32" t="str">
        <x:v>https://video.invalid/case/V0048</x:v>
      </x:c>
      <x:c r="G100" s="32" t="str">
        <x:v>creator_case_048</x:v>
      </x:c>
      <x:c r="H100" s="32" t="str">
        <x:v>Pending</x:v>
      </x:c>
      <x:c r="I100" s="32" t="str">
        <x:v>Visible</x:v>
      </x:c>
      <x:c r="J100" s="32" t="str">
        <x:v>EVD-SYN-0048-24H</x:v>
      </x:c>
      <x:c r="K100" s="32" t="str">
        <x:v>24h verification</x:v>
      </x:c>
      <x:c r="L100" s="32" t="str">
        <x:v>None</x:v>
      </x:c>
      <x:c r="M100" s="32" t="str">
        <x:v>Pass</x:v>
      </x:c>
      <x:c r="N100" s="32" t="str">
        <x:v>คาดิแกนตัวนี้ดูแมตช์ง่ายและใช้ได้หลายมู้ดมาก ลุคนี้ลองเพิ่มดีเทลโทนมุกแบบในรูปเพียงหนึ่งถึงสองจุดก็น่าจะน่ารักขึ้นมาก</x:v>
      </x:c>
      <x:c r="O100" s="32" t="str">
        <x:v>คาดิแกนตัวนี้ดูแมตช์ง่ายและใช้ได้หลายมู้ดมาก ลุคนี้ลองเพิ่มดีเทลโทนมุกแบบในรูปเพียงหนึ่งถึงสองจุดก็น่าจะน่ารักขึ้นมาก</x:v>
      </x:c>
      <x:c r="P100" s="32" t="n">
        <x:v>0</x:v>
      </x:c>
      <x:c r="Q100" s="32" t="str"/>
      <x:c r="R100" s="32" t="str">
        <x:v>None</x:v>
      </x:c>
      <x:c r="S100" s="32" t="str">
        <x:v>24h</x:v>
      </x:c>
      <x:c r="T100" s="32" t="str">
        <x:f>IF(I100="Inconclusive","Inconclusive",IF(AND(OR(R100="User",R100="Mixed"),J100&lt;&gt;""),IF(R100="Mixed","Mixed Reply","Verified User Reply"),"No Verified User Reply"))</x:f>
        <x:v>No Verified User Reply</x:v>
      </x:c>
      <x:c r="U100" s="32" t="str">
        <x:v>BATCH-VERIFY-24H</x:v>
      </x:c>
      <x:c r="V100" s="32" t="str">
        <x:f>D100&amp;"|"&amp;S100</x:f>
        <x:v>IC-0048|24h</x:v>
      </x:c>
      <x:c r="W100" s="32" t="str">
        <x:f>I100</x:f>
        <x:v>Visible</x:v>
      </x:c>
      <x:c r="X100" s="32" t="str">
        <x:f>R100</x:f>
        <x:v>None</x:v>
      </x:c>
      <x:c r="Y100" s="33" t="str">
        <x:f>T100</x:f>
        <x:v>No Verified User Reply</x:v>
      </x:c>
    </x:row>
    <x:row r="101">
      <x:c r="A101" s="49" t="n">
        <x:v>46225</x:v>
      </x:c>
      <x:c r="B101" s="32" t="str">
        <x:v>12:30</x:v>
      </x:c>
      <x:c r="C101" s="52" t="n">
        <x:v>46225</x:v>
      </x:c>
      <x:c r="D101" s="32" t="str">
        <x:v>IC-0049</x:v>
      </x:c>
      <x:c r="E101" s="32" t="str">
        <x:v>Account Slot 9</x:v>
      </x:c>
      <x:c r="F101" s="32" t="str">
        <x:v>https://video.invalid/case/V0049</x:v>
      </x:c>
      <x:c r="G101" s="32" t="str">
        <x:v>creator_case_049</x:v>
      </x:c>
      <x:c r="H101" s="32" t="str">
        <x:v>Pending</x:v>
      </x:c>
      <x:c r="I101" s="32" t="str">
        <x:v>Visible</x:v>
      </x:c>
      <x:c r="J101" s="32" t="str">
        <x:v>EVD-SYN-0049-30M</x:v>
      </x:c>
      <x:c r="K101" s="32" t="str">
        <x:v>30m verification</x:v>
      </x:c>
      <x:c r="L101" s="32" t="str">
        <x:v>None</x:v>
      </x:c>
      <x:c r="M101" s="32" t="str">
        <x:v>Pass</x:v>
      </x:c>
      <x:c r="N101" s="32" t="str">
        <x:v>ชอบแนวเสื้อที่ดูเป็นระเบียบและไม่ทำให้ลุคแข็งเกินไป ดีเทลกระดุมดอกไม้ตรงคอและปลายแขนแบบในรูปช่วยให้เสื้อเรียบดูมีเรื่องราวขึ้นเลย</x:v>
      </x:c>
      <x:c r="O101" s="32" t="str">
        <x:v>ชอบแนวเสื้อที่ดูเป็นระเบียบและไม่ทำให้ลุคแข็งเกินไป ดีเทลกระดุมดอกไม้ตรงคอและปลายแขนแบบในรูปช่วยให้เสื้อเรียบดูมีเรื่องราวขึ้นเลย</x:v>
      </x:c>
      <x:c r="P101" s="32" t="n">
        <x:v>0</x:v>
      </x:c>
      <x:c r="Q101" s="32" t="str"/>
      <x:c r="R101" s="32" t="str">
        <x:v>None</x:v>
      </x:c>
      <x:c r="S101" s="32" t="str">
        <x:v>30m</x:v>
      </x:c>
      <x:c r="T101" s="32" t="str">
        <x:f>IF(I101="Inconclusive","Inconclusive",IF(AND(OR(R101="User",R101="Mixed"),J101&lt;&gt;""),IF(R101="Mixed","Mixed Reply","Verified User Reply"),"No Verified User Reply"))</x:f>
        <x:v>No Verified User Reply</x:v>
      </x:c>
      <x:c r="U101" s="32" t="str">
        <x:v>BATCH-VERIFY-30M</x:v>
      </x:c>
      <x:c r="V101" s="32" t="str">
        <x:f>D101&amp;"|"&amp;S101</x:f>
        <x:v>IC-0049|30m</x:v>
      </x:c>
      <x:c r="W101" s="32" t="str">
        <x:f>I101</x:f>
        <x:v>Visible</x:v>
      </x:c>
      <x:c r="X101" s="32" t="str">
        <x:f>R101</x:f>
        <x:v>None</x:v>
      </x:c>
      <x:c r="Y101" s="33" t="str">
        <x:f>T101</x:f>
        <x:v>No Verified User Reply</x:v>
      </x:c>
    </x:row>
    <x:row r="102">
      <x:c r="A102" s="49" t="n">
        <x:v>46226</x:v>
      </x:c>
      <x:c r="B102" s="32" t="str">
        <x:v>12:00</x:v>
      </x:c>
      <x:c r="C102" s="52" t="n">
        <x:v>46225</x:v>
      </x:c>
      <x:c r="D102" s="32" t="str">
        <x:v>IC-0049</x:v>
      </x:c>
      <x:c r="E102" s="32" t="str">
        <x:v>Account Slot 9</x:v>
      </x:c>
      <x:c r="F102" s="32" t="str">
        <x:v>https://video.invalid/case/V0049</x:v>
      </x:c>
      <x:c r="G102" s="32" t="str">
        <x:v>creator_case_049</x:v>
      </x:c>
      <x:c r="H102" s="32" t="str">
        <x:v>Pending</x:v>
      </x:c>
      <x:c r="I102" s="32" t="str">
        <x:v>Visible</x:v>
      </x:c>
      <x:c r="J102" s="32" t="str">
        <x:v>EVD-SYN-0049-24H</x:v>
      </x:c>
      <x:c r="K102" s="32" t="str">
        <x:v>24h verification</x:v>
      </x:c>
      <x:c r="L102" s="32" t="str">
        <x:v>None</x:v>
      </x:c>
      <x:c r="M102" s="32" t="str">
        <x:v>Pass</x:v>
      </x:c>
      <x:c r="N102" s="32" t="str">
        <x:v>ชอบแนวเสื้อที่ดูเป็นระเบียบและไม่ทำให้ลุคแข็งเกินไป ดีเทลกระดุมดอกไม้ตรงคอและปลายแขนแบบในรูปช่วยให้เสื้อเรียบดูมีเรื่องราวขึ้นเลย</x:v>
      </x:c>
      <x:c r="O102" s="32" t="str">
        <x:v>ชอบแนวเสื้อที่ดูเป็นระเบียบและไม่ทำให้ลุคแข็งเกินไป ดีเทลกระดุมดอกไม้ตรงคอและปลายแขนแบบในรูปช่วยให้เสื้อเรียบดูมีเรื่องราวขึ้นเลย</x:v>
      </x:c>
      <x:c r="P102" s="32" t="n">
        <x:v>0</x:v>
      </x:c>
      <x:c r="Q102" s="32" t="str"/>
      <x:c r="R102" s="32" t="str">
        <x:v>None</x:v>
      </x:c>
      <x:c r="S102" s="32" t="str">
        <x:v>24h</x:v>
      </x:c>
      <x:c r="T102" s="32" t="str">
        <x:f>IF(I102="Inconclusive","Inconclusive",IF(AND(OR(R102="User",R102="Mixed"),J102&lt;&gt;""),IF(R102="Mixed","Mixed Reply","Verified User Reply"),"No Verified User Reply"))</x:f>
        <x:v>No Verified User Reply</x:v>
      </x:c>
      <x:c r="U102" s="32" t="str">
        <x:v>BATCH-VERIFY-24H</x:v>
      </x:c>
      <x:c r="V102" s="32" t="str">
        <x:f>D102&amp;"|"&amp;S102</x:f>
        <x:v>IC-0049|24h</x:v>
      </x:c>
      <x:c r="W102" s="32" t="str">
        <x:f>I102</x:f>
        <x:v>Visible</x:v>
      </x:c>
      <x:c r="X102" s="32" t="str">
        <x:f>R102</x:f>
        <x:v>None</x:v>
      </x:c>
      <x:c r="Y102" s="33" t="str">
        <x:f>T102</x:f>
        <x:v>No Verified User Reply</x:v>
      </x:c>
    </x:row>
    <x:row r="103">
      <x:c r="A103" s="49" t="n">
        <x:v>46225</x:v>
      </x:c>
      <x:c r="B103" s="32" t="str">
        <x:v>12:30</x:v>
      </x:c>
      <x:c r="C103" s="52" t="n">
        <x:v>46225</x:v>
      </x:c>
      <x:c r="D103" s="32" t="str">
        <x:v>IC-0050</x:v>
      </x:c>
      <x:c r="E103" s="32" t="str">
        <x:v>Account Slot 10</x:v>
      </x:c>
      <x:c r="F103" s="32" t="str">
        <x:v>https://video.invalid/case/V0050</x:v>
      </x:c>
      <x:c r="G103" s="32" t="str">
        <x:v>creator_case_050</x:v>
      </x:c>
      <x:c r="H103" s="32" t="str">
        <x:v>Pending</x:v>
      </x:c>
      <x:c r="I103" s="32" t="str">
        <x:v>Visible</x:v>
      </x:c>
      <x:c r="J103" s="32" t="str">
        <x:v>EVD-SYN-0050-30M</x:v>
      </x:c>
      <x:c r="K103" s="32" t="str">
        <x:v>30m verification</x:v>
      </x:c>
      <x:c r="L103" s="32" t="str">
        <x:v>None</x:v>
      </x:c>
      <x:c r="M103" s="32" t="str">
        <x:v>Pass</x:v>
      </x:c>
      <x:c r="N103" s="32" t="str">
        <x:v>สูทลุคนี้เนี้ยบแต่ไม่ดูแข็งจนเกินไปค่ะ ลุคนี้ลองเพิ่มตัวครอบกระดุมโทนมุกกับ blazer แบบในรูป น่าจะดูแพงขึ้นพอดี</x:v>
      </x:c>
      <x:c r="O103" s="32" t="str">
        <x:v>สูทลุคนี้เนี้ยบแต่ไม่ดูแข็งจนเกินไปค่ะ ลุคนี้ลองเพิ่มตัวครอบกระดุมโทนมุกกับ blazer แบบในรูป น่าจะดูแพงขึ้นพอดี</x:v>
      </x:c>
      <x:c r="P103" s="32" t="n">
        <x:v>1</x:v>
      </x:c>
      <x:c r="Q103" s="32" t="str">
        <x:v>Synthetic reply preview</x:v>
      </x:c>
      <x:c r="R103" s="32" t="str">
        <x:v>User</x:v>
      </x:c>
      <x:c r="S103" s="32" t="str">
        <x:v>30m</x:v>
      </x:c>
      <x:c r="T103" s="32" t="str">
        <x:f>IF(I103="Inconclusive","Inconclusive",IF(AND(OR(R103="User",R103="Mixed"),J103&lt;&gt;""),IF(R103="Mixed","Mixed Reply","Verified User Reply"),"No Verified User Reply"))</x:f>
        <x:v>Verified User Reply</x:v>
      </x:c>
      <x:c r="U103" s="32" t="str">
        <x:v>BATCH-VERIFY-30M</x:v>
      </x:c>
      <x:c r="V103" s="32" t="str">
        <x:f>D103&amp;"|"&amp;S103</x:f>
        <x:v>IC-0050|30m</x:v>
      </x:c>
      <x:c r="W103" s="32" t="str">
        <x:f>I103</x:f>
        <x:v>Visible</x:v>
      </x:c>
      <x:c r="X103" s="32" t="str">
        <x:f>R103</x:f>
        <x:v>User</x:v>
      </x:c>
      <x:c r="Y103" s="33" t="str">
        <x:f>T103</x:f>
        <x:v>Verified User Reply</x:v>
      </x:c>
    </x:row>
    <x:row r="104">
      <x:c r="A104" s="49" t="n">
        <x:v>46226</x:v>
      </x:c>
      <x:c r="B104" s="32" t="str">
        <x:v>12:00</x:v>
      </x:c>
      <x:c r="C104" s="52" t="n">
        <x:v>46225</x:v>
      </x:c>
      <x:c r="D104" s="32" t="str">
        <x:v>IC-0050</x:v>
      </x:c>
      <x:c r="E104" s="32" t="str">
        <x:v>Account Slot 10</x:v>
      </x:c>
      <x:c r="F104" s="32" t="str">
        <x:v>https://video.invalid/case/V0050</x:v>
      </x:c>
      <x:c r="G104" s="32" t="str">
        <x:v>creator_case_050</x:v>
      </x:c>
      <x:c r="H104" s="32" t="str">
        <x:v>Pending</x:v>
      </x:c>
      <x:c r="I104" s="32" t="str">
        <x:v>Visible</x:v>
      </x:c>
      <x:c r="J104" s="32" t="str">
        <x:v>EVD-SYN-0050-24H</x:v>
      </x:c>
      <x:c r="K104" s="32" t="str">
        <x:v>24h verification</x:v>
      </x:c>
      <x:c r="L104" s="32" t="str">
        <x:v>None</x:v>
      </x:c>
      <x:c r="M104" s="32" t="str">
        <x:v>Pass</x:v>
      </x:c>
      <x:c r="N104" s="32" t="str">
        <x:v>สูทลุคนี้เนี้ยบแต่ไม่ดูแข็งจนเกินไปค่ะ ลุคนี้ลองเพิ่มตัวครอบกระดุมโทนมุกกับ blazer แบบในรูป น่าจะดูแพงขึ้นพอดี</x:v>
      </x:c>
      <x:c r="O104" s="32" t="str">
        <x:v>สูทลุคนี้เนี้ยบแต่ไม่ดูแข็งจนเกินไปค่ะ ลุคนี้ลองเพิ่มตัวครอบกระดุมโทนมุกกับ blazer แบบในรูป น่าจะดูแพงขึ้นพอดี</x:v>
      </x:c>
      <x:c r="P104" s="32" t="n">
        <x:v>1</x:v>
      </x:c>
      <x:c r="Q104" s="32" t="str">
        <x:v>Synthetic reply preview</x:v>
      </x:c>
      <x:c r="R104" s="32" t="str">
        <x:v>User</x:v>
      </x:c>
      <x:c r="S104" s="32" t="str">
        <x:v>24h</x:v>
      </x:c>
      <x:c r="T104" s="32" t="str">
        <x:f>IF(I104="Inconclusive","Inconclusive",IF(AND(OR(R104="User",R104="Mixed"),J104&lt;&gt;""),IF(R104="Mixed","Mixed Reply","Verified User Reply"),"No Verified User Reply"))</x:f>
        <x:v>Verified User Reply</x:v>
      </x:c>
      <x:c r="U104" s="32" t="str">
        <x:v>BATCH-VERIFY-24H</x:v>
      </x:c>
      <x:c r="V104" s="32" t="str">
        <x:f>D104&amp;"|"&amp;S104</x:f>
        <x:v>IC-0050|24h</x:v>
      </x:c>
      <x:c r="W104" s="32" t="str">
        <x:f>I104</x:f>
        <x:v>Visible</x:v>
      </x:c>
      <x:c r="X104" s="32" t="str">
        <x:f>R104</x:f>
        <x:v>User</x:v>
      </x:c>
      <x:c r="Y104" s="33" t="str">
        <x:f>T104</x:f>
        <x:v>Verified User Reply</x:v>
      </x:c>
    </x:row>
    <x:row r="105">
      <x:c r="A105" s="49" t="n">
        <x:v>46226</x:v>
      </x:c>
      <x:c r="B105" s="32" t="str">
        <x:v>12:30</x:v>
      </x:c>
      <x:c r="C105" s="52" t="n">
        <x:v>46226</x:v>
      </x:c>
      <x:c r="D105" s="32" t="str">
        <x:v>IC-0051</x:v>
      </x:c>
      <x:c r="E105" s="32" t="str">
        <x:v>Account Slot 1</x:v>
      </x:c>
      <x:c r="F105" s="32" t="str">
        <x:v>https://video.invalid/case/V0051</x:v>
      </x:c>
      <x:c r="G105" s="32" t="str">
        <x:v>creator_case_051</x:v>
      </x:c>
      <x:c r="H105" s="32" t="str">
        <x:v>Pending</x:v>
      </x:c>
      <x:c r="I105" s="32" t="str">
        <x:v>Visible</x:v>
      </x:c>
      <x:c r="J105" s="32" t="str">
        <x:v>EVD-SYN-0051-30M</x:v>
      </x:c>
      <x:c r="K105" s="32" t="str">
        <x:v>30m verification</x:v>
      </x:c>
      <x:c r="L105" s="32" t="str">
        <x:v>None</x:v>
      </x:c>
      <x:c r="M105" s="32" t="str">
        <x:v>Pass</x:v>
      </x:c>
      <x:c r="N105" s="32" t="str">
        <x:v>blazer ทรงนี้ทำให้ภาพรวมดูเป็นมืออาชีพแบบพอดีค่ะ จุดเด่นเล็ก ๆ บนเบลเซอร์แบบในรูปทำให้ลุคโทนเข้มดูแพงขึ้นโดยไม่เยอะเกินไป</x:v>
      </x:c>
      <x:c r="O105" s="32" t="str">
        <x:v>blazer ทรงนี้ทำให้ภาพรวมดูเป็นมืออาชีพแบบพอดีค่ะ จุดเด่นเล็ก ๆ บนเบลเซอร์แบบในรูปทำให้ลุคโทนเข้มดูแพงขึ้นโดยไม่เยอะเกินไป</x:v>
      </x:c>
      <x:c r="P105" s="32" t="n">
        <x:v>0</x:v>
      </x:c>
      <x:c r="Q105" s="32" t="str"/>
      <x:c r="R105" s="32" t="str">
        <x:v>None</x:v>
      </x:c>
      <x:c r="S105" s="32" t="str">
        <x:v>30m</x:v>
      </x:c>
      <x:c r="T105" s="32" t="str">
        <x:f>IF(I105="Inconclusive","Inconclusive",IF(AND(OR(R105="User",R105="Mixed"),J105&lt;&gt;""),IF(R105="Mixed","Mixed Reply","Verified User Reply"),"No Verified User Reply"))</x:f>
        <x:v>No Verified User Reply</x:v>
      </x:c>
      <x:c r="U105" s="32" t="str">
        <x:v>BATCH-VERIFY-30M</x:v>
      </x:c>
      <x:c r="V105" s="32" t="str">
        <x:f>D105&amp;"|"&amp;S105</x:f>
        <x:v>IC-0051|30m</x:v>
      </x:c>
      <x:c r="W105" s="32" t="str">
        <x:f>I105</x:f>
        <x:v>Visible</x:v>
      </x:c>
      <x:c r="X105" s="32" t="str">
        <x:f>R105</x:f>
        <x:v>None</x:v>
      </x:c>
      <x:c r="Y105" s="33" t="str">
        <x:f>T105</x:f>
        <x:v>No Verified User Reply</x:v>
      </x:c>
    </x:row>
    <x:row r="106">
      <x:c r="A106" s="49" t="n">
        <x:v>46227</x:v>
      </x:c>
      <x:c r="B106" s="32" t="str">
        <x:v>12:00</x:v>
      </x:c>
      <x:c r="C106" s="52" t="n">
        <x:v>46226</x:v>
      </x:c>
      <x:c r="D106" s="32" t="str">
        <x:v>IC-0051</x:v>
      </x:c>
      <x:c r="E106" s="32" t="str">
        <x:v>Account Slot 1</x:v>
      </x:c>
      <x:c r="F106" s="32" t="str">
        <x:v>https://video.invalid/case/V0051</x:v>
      </x:c>
      <x:c r="G106" s="32" t="str">
        <x:v>creator_case_051</x:v>
      </x:c>
      <x:c r="H106" s="32" t="str">
        <x:v>Pending</x:v>
      </x:c>
      <x:c r="I106" s="32" t="str">
        <x:v>Missing</x:v>
      </x:c>
      <x:c r="J106" s="32" t="str">
        <x:v>EVD-SYN-0051-24H</x:v>
      </x:c>
      <x:c r="K106" s="32" t="str">
        <x:v>24h verification</x:v>
      </x:c>
      <x:c r="L106" s="32" t="str">
        <x:v>None</x:v>
      </x:c>
      <x:c r="M106" s="32" t="str">
        <x:v>Pass</x:v>
      </x:c>
      <x:c r="N106" s="32" t="str">
        <x:v>blazer ทรงนี้ทำให้ภาพรวมดูเป็นมืออาชีพแบบพอดีค่ะ จุดเด่นเล็ก ๆ บนเบลเซอร์แบบในรูปทำให้ลุคโทนเข้มดูแพงขึ้นโดยไม่เยอะเกินไป</x:v>
      </x:c>
      <x:c r="O106" s="32"/>
      <x:c r="P106" s="32" t="n">
        <x:v>0</x:v>
      </x:c>
      <x:c r="Q106" s="32" t="str"/>
      <x:c r="R106" s="32" t="str">
        <x:v>None</x:v>
      </x:c>
      <x:c r="S106" s="32" t="str">
        <x:v>24h</x:v>
      </x:c>
      <x:c r="T106" s="32" t="str">
        <x:f>IF(I106="Inconclusive","Inconclusive",IF(AND(OR(R106="User",R106="Mixed"),J106&lt;&gt;""),IF(R106="Mixed","Mixed Reply","Verified User Reply"),"No Verified User Reply"))</x:f>
        <x:v>No Verified User Reply</x:v>
      </x:c>
      <x:c r="U106" s="32" t="str">
        <x:v>BATCH-VERIFY-24H</x:v>
      </x:c>
      <x:c r="V106" s="32" t="str">
        <x:f>D106&amp;"|"&amp;S106</x:f>
        <x:v>IC-0051|24h</x:v>
      </x:c>
      <x:c r="W106" s="32" t="str">
        <x:f>I106</x:f>
        <x:v>Missing</x:v>
      </x:c>
      <x:c r="X106" s="32" t="str">
        <x:f>R106</x:f>
        <x:v>None</x:v>
      </x:c>
      <x:c r="Y106" s="33" t="str">
        <x:f>T106</x:f>
        <x:v>No Verified User Reply</x:v>
      </x:c>
    </x:row>
    <x:row r="107">
      <x:c r="A107" s="49" t="n">
        <x:v>46226</x:v>
      </x:c>
      <x:c r="B107" s="32" t="str">
        <x:v>12:30</x:v>
      </x:c>
      <x:c r="C107" s="52" t="n">
        <x:v>46226</x:v>
      </x:c>
      <x:c r="D107" s="32" t="str">
        <x:v>IC-0052</x:v>
      </x:c>
      <x:c r="E107" s="32" t="str">
        <x:v>Account Slot 2</x:v>
      </x:c>
      <x:c r="F107" s="32" t="str">
        <x:v>https://video.invalid/case/V0052</x:v>
      </x:c>
      <x:c r="G107" s="32" t="str">
        <x:v>creator_case_052</x:v>
      </x:c>
      <x:c r="H107" s="32" t="str">
        <x:v>Pending</x:v>
      </x:c>
      <x:c r="I107" s="32" t="str">
        <x:v>Visible</x:v>
      </x:c>
      <x:c r="J107" s="32" t="str">
        <x:v>EVD-SYN-0052-30M</x:v>
      </x:c>
      <x:c r="K107" s="32" t="str">
        <x:v>30m verification</x:v>
      </x:c>
      <x:c r="L107" s="32" t="str">
        <x:v>None</x:v>
      </x:c>
      <x:c r="M107" s="32" t="str">
        <x:v>Pass</x:v>
      </x:c>
      <x:c r="N107" s="32" t="str">
        <x:v>ชอบความคลีนของเสื้อเชิ้ตลุคนี้ ดูใส่ได้หลายโอกาสเลย ลองจับคู่ชุดนี้กับดีเทลกระดุมโทนชมพูแบบในรูปค่ะ ยังคลีนแต่ดูมีอะไรมากขึ้น</x:v>
      </x:c>
      <x:c r="O107" s="32" t="str">
        <x:v>ชอบความคลีนของเสื้อเชิ้ตลุคนี้ ดูใส่ได้หลายโอกาสเลย ลองจับคู่ชุดนี้กับดีเทลกระดุมโทนชมพูแบบในรูปค่ะ ยังคลีนแต่ดูมีอะไรมากขึ้น</x:v>
      </x:c>
      <x:c r="P107" s="32" t="n">
        <x:v>0</x:v>
      </x:c>
      <x:c r="Q107" s="32" t="str"/>
      <x:c r="R107" s="32" t="str">
        <x:v>None</x:v>
      </x:c>
      <x:c r="S107" s="32" t="str">
        <x:v>30m</x:v>
      </x:c>
      <x:c r="T107" s="32" t="str">
        <x:f>IF(I107="Inconclusive","Inconclusive",IF(AND(OR(R107="User",R107="Mixed"),J107&lt;&gt;""),IF(R107="Mixed","Mixed Reply","Verified User Reply"),"No Verified User Reply"))</x:f>
        <x:v>No Verified User Reply</x:v>
      </x:c>
      <x:c r="U107" s="32" t="str">
        <x:v>BATCH-VERIFY-30M</x:v>
      </x:c>
      <x:c r="V107" s="32" t="str">
        <x:f>D107&amp;"|"&amp;S107</x:f>
        <x:v>IC-0052|30m</x:v>
      </x:c>
      <x:c r="W107" s="32" t="str">
        <x:f>I107</x:f>
        <x:v>Visible</x:v>
      </x:c>
      <x:c r="X107" s="32" t="str">
        <x:f>R107</x:f>
        <x:v>None</x:v>
      </x:c>
      <x:c r="Y107" s="33" t="str">
        <x:f>T107</x:f>
        <x:v>No Verified User Reply</x:v>
      </x:c>
    </x:row>
    <x:row r="108">
      <x:c r="A108" s="49" t="n">
        <x:v>46227</x:v>
      </x:c>
      <x:c r="B108" s="32" t="str">
        <x:v>12:00</x:v>
      </x:c>
      <x:c r="C108" s="52" t="n">
        <x:v>46226</x:v>
      </x:c>
      <x:c r="D108" s="32" t="str">
        <x:v>IC-0052</x:v>
      </x:c>
      <x:c r="E108" s="32" t="str">
        <x:v>Account Slot 2</x:v>
      </x:c>
      <x:c r="F108" s="32" t="str">
        <x:v>https://video.invalid/case/V0052</x:v>
      </x:c>
      <x:c r="G108" s="32" t="str">
        <x:v>creator_case_052</x:v>
      </x:c>
      <x:c r="H108" s="32" t="str">
        <x:v>Pending</x:v>
      </x:c>
      <x:c r="I108" s="32" t="str">
        <x:v>Visible</x:v>
      </x:c>
      <x:c r="J108" s="32" t="str"/>
      <x:c r="K108" s="32" t="str">
        <x:v>24h verification</x:v>
      </x:c>
      <x:c r="L108" s="32" t="str">
        <x:v>None</x:v>
      </x:c>
      <x:c r="M108" s="32" t="str">
        <x:v>Pass</x:v>
      </x:c>
      <x:c r="N108" s="32" t="str">
        <x:v>ชอบความคลีนของเสื้อเชิ้ตลุคนี้ ดูใส่ได้หลายโอกาสเลย ลองจับคู่ชุดนี้กับดีเทลกระดุมโทนชมพูแบบในรูปค่ะ ยังคลีนแต่ดูมีอะไรมากขึ้น</x:v>
      </x:c>
      <x:c r="O108" s="32" t="str">
        <x:v>ชอบความคลีนของเสื้อเชิ้ตลุคนี้ ดูใส่ได้หลายโอกาสเลย ลองจับคู่ชุดนี้กับดีเทลกระดุมโทนชมพูแบบในรูปค่ะ ยังคลีนแต่ดูมีอะไรมากขึ้น</x:v>
      </x:c>
      <x:c r="P108" s="32" t="n">
        <x:v>0</x:v>
      </x:c>
      <x:c r="Q108" s="32" t="str"/>
      <x:c r="R108" s="32" t="str">
        <x:v>None</x:v>
      </x:c>
      <x:c r="S108" s="32" t="str">
        <x:v>24h</x:v>
      </x:c>
      <x:c r="T108" s="32" t="str">
        <x:f>IF(I108="Inconclusive","Inconclusive",IF(AND(OR(R108="User",R108="Mixed"),J108&lt;&gt;""),IF(R108="Mixed","Mixed Reply","Verified User Reply"),"No Verified User Reply"))</x:f>
        <x:v>No Verified User Reply</x:v>
      </x:c>
      <x:c r="U108" s="32" t="str">
        <x:v>BATCH-VERIFY-24H</x:v>
      </x:c>
      <x:c r="V108" s="32" t="str">
        <x:f>D108&amp;"|"&amp;S108</x:f>
        <x:v>IC-0052|24h</x:v>
      </x:c>
      <x:c r="W108" s="32" t="str">
        <x:f>I108</x:f>
        <x:v>Visible</x:v>
      </x:c>
      <x:c r="X108" s="32" t="str">
        <x:f>R108</x:f>
        <x:v>None</x:v>
      </x:c>
      <x:c r="Y108" s="33" t="str">
        <x:f>T108</x:f>
        <x:v>No Verified User Reply</x:v>
      </x:c>
    </x:row>
    <x:row r="109">
      <x:c r="A109" s="49" t="n">
        <x:v>46226</x:v>
      </x:c>
      <x:c r="B109" s="32" t="str">
        <x:v>12:30</x:v>
      </x:c>
      <x:c r="C109" s="52" t="n">
        <x:v>46226</x:v>
      </x:c>
      <x:c r="D109" s="32" t="str">
        <x:v>IC-0053</x:v>
      </x:c>
      <x:c r="E109" s="32" t="str">
        <x:v>Account Slot 3</x:v>
      </x:c>
      <x:c r="F109" s="32" t="str">
        <x:v>https://video.invalid/case/V0053</x:v>
      </x:c>
      <x:c r="G109" s="32" t="str">
        <x:v>creator_case_053</x:v>
      </x:c>
      <x:c r="H109" s="32" t="str">
        <x:v>Pending</x:v>
      </x:c>
      <x:c r="I109" s="32" t="str">
        <x:v>Visible</x:v>
      </x:c>
      <x:c r="J109" s="32" t="str">
        <x:v>EVD-SYN-0053-30M</x:v>
      </x:c>
      <x:c r="K109" s="32" t="str">
        <x:v>30m verification</x:v>
      </x:c>
      <x:c r="L109" s="32" t="str">
        <x:v>None</x:v>
      </x:c>
      <x:c r="M109" s="32" t="str">
        <x:v>Pass</x:v>
      </x:c>
      <x:c r="N109" s="32" t="str">
        <x:v>ชุดนี้แต่งตามง่ายและเหมาะกับหลายโอกาสจริงค่ะ ตัวครอบกระดุมโทนมุกแบบในรูปเข้ากับลุคคลีนและไม่ทำให้ชุดดูแน่นเกินไป</x:v>
      </x:c>
      <x:c r="O109" s="32" t="str">
        <x:v>ชุดนี้แต่งตามง่ายและเหมาะกับหลายโอกาสจริงค่ะ ตัวครอบกระดุมโทนมุกแบบในรูปเข้ากับลุคคลีนและไม่ทำให้ชุดดูแน่นเกินไป</x:v>
      </x:c>
      <x:c r="P109" s="32" t="n">
        <x:v>2</x:v>
      </x:c>
      <x:c r="Q109" s="32" t="str">
        <x:v>Synthetic reply preview</x:v>
      </x:c>
      <x:c r="R109" s="32" t="str">
        <x:v>Mixed</x:v>
      </x:c>
      <x:c r="S109" s="32" t="str">
        <x:v>30m</x:v>
      </x:c>
      <x:c r="T109" s="32" t="str">
        <x:f>IF(I109="Inconclusive","Inconclusive",IF(AND(OR(R109="User",R109="Mixed"),J109&lt;&gt;""),IF(R109="Mixed","Mixed Reply","Verified User Reply"),"No Verified User Reply"))</x:f>
        <x:v>Mixed Reply</x:v>
      </x:c>
      <x:c r="U109" s="32" t="str">
        <x:v>BATCH-VERIFY-30M</x:v>
      </x:c>
      <x:c r="V109" s="32" t="str">
        <x:f>D109&amp;"|"&amp;S109</x:f>
        <x:v>IC-0053|30m</x:v>
      </x:c>
      <x:c r="W109" s="32" t="str">
        <x:f>I109</x:f>
        <x:v>Visible</x:v>
      </x:c>
      <x:c r="X109" s="32" t="str">
        <x:f>R109</x:f>
        <x:v>Mixed</x:v>
      </x:c>
      <x:c r="Y109" s="33" t="str">
        <x:f>T109</x:f>
        <x:v>Mixed Reply</x:v>
      </x:c>
    </x:row>
    <x:row r="110">
      <x:c r="A110" s="49" t="n">
        <x:v>46227</x:v>
      </x:c>
      <x:c r="B110" s="32" t="str">
        <x:v>12:00</x:v>
      </x:c>
      <x:c r="C110" s="52" t="n">
        <x:v>46226</x:v>
      </x:c>
      <x:c r="D110" s="32" t="str">
        <x:v>IC-0053</x:v>
      </x:c>
      <x:c r="E110" s="32" t="str">
        <x:v>Account Slot 3</x:v>
      </x:c>
      <x:c r="F110" s="32" t="str">
        <x:v>https://video.invalid/case/V0053</x:v>
      </x:c>
      <x:c r="G110" s="32" t="str">
        <x:v>creator_case_053</x:v>
      </x:c>
      <x:c r="H110" s="32" t="str">
        <x:v>Pending</x:v>
      </x:c>
      <x:c r="I110" s="32" t="str">
        <x:v>Visible</x:v>
      </x:c>
      <x:c r="J110" s="32" t="str">
        <x:v>EVD-SYN-0053-24H</x:v>
      </x:c>
      <x:c r="K110" s="32" t="str">
        <x:v>24h verification</x:v>
      </x:c>
      <x:c r="L110" s="32" t="str">
        <x:v>None</x:v>
      </x:c>
      <x:c r="M110" s="32" t="str">
        <x:v>Pass</x:v>
      </x:c>
      <x:c r="N110" s="32" t="str">
        <x:v>ชุดนี้แต่งตามง่ายและเหมาะกับหลายโอกาสจริงค่ะ ตัวครอบกระดุมโทนมุกแบบในรูปเข้ากับลุคคลีนและไม่ทำให้ชุดดูแน่นเกินไป</x:v>
      </x:c>
      <x:c r="O110" s="32" t="str">
        <x:v>ชุดนี้แต่งตามง่ายและเหมาะกับหลายโอกาสจริงค่ะ ตัวครอบกระดุมโทนมุกแบบในรูปเข้ากับลุคคลีนและไม่ทำให้ชุดดูแน่นเกินไป</x:v>
      </x:c>
      <x:c r="P110" s="32" t="n">
        <x:v>2</x:v>
      </x:c>
      <x:c r="Q110" s="32" t="str">
        <x:v>Synthetic reply preview</x:v>
      </x:c>
      <x:c r="R110" s="32" t="str">
        <x:v>Mixed</x:v>
      </x:c>
      <x:c r="S110" s="32" t="str">
        <x:v>24h</x:v>
      </x:c>
      <x:c r="T110" s="32" t="str">
        <x:f>IF(I110="Inconclusive","Inconclusive",IF(AND(OR(R110="User",R110="Mixed"),J110&lt;&gt;""),IF(R110="Mixed","Mixed Reply","Verified User Reply"),"No Verified User Reply"))</x:f>
        <x:v>Mixed Reply</x:v>
      </x:c>
      <x:c r="U110" s="32" t="str">
        <x:v>BATCH-VERIFY-24H</x:v>
      </x:c>
      <x:c r="V110" s="32" t="str">
        <x:f>D110&amp;"|"&amp;S110</x:f>
        <x:v>IC-0053|24h</x:v>
      </x:c>
      <x:c r="W110" s="32" t="str">
        <x:f>I110</x:f>
        <x:v>Visible</x:v>
      </x:c>
      <x:c r="X110" s="32" t="str">
        <x:f>R110</x:f>
        <x:v>Mixed</x:v>
      </x:c>
      <x:c r="Y110" s="33" t="str">
        <x:f>T110</x:f>
        <x:v>Mixed Reply</x:v>
      </x:c>
    </x:row>
    <x:row r="111">
      <x:c r="A111" s="49" t="n">
        <x:v>46226</x:v>
      </x:c>
      <x:c r="B111" s="32" t="str">
        <x:v>12:30</x:v>
      </x:c>
      <x:c r="C111" s="52" t="n">
        <x:v>46226</x:v>
      </x:c>
      <x:c r="D111" s="32" t="str">
        <x:v>IC-0054</x:v>
      </x:c>
      <x:c r="E111" s="32" t="str">
        <x:v>Account Slot 4</x:v>
      </x:c>
      <x:c r="F111" s="32" t="str">
        <x:v>https://video.invalid/case/V0054</x:v>
      </x:c>
      <x:c r="G111" s="32" t="str">
        <x:v>creator_case_054</x:v>
      </x:c>
      <x:c r="H111" s="32" t="str">
        <x:v>Pending</x:v>
      </x:c>
      <x:c r="I111" s="32" t="str">
        <x:v>Visible</x:v>
      </x:c>
      <x:c r="J111" s="32" t="str">
        <x:v>EVD-SYN-0054-30M</x:v>
      </x:c>
      <x:c r="K111" s="32" t="str">
        <x:v>30m verification</x:v>
      </x:c>
      <x:c r="L111" s="32" t="str">
        <x:v>None</x:v>
      </x:c>
      <x:c r="M111" s="32" t="str">
        <x:v>Pass</x:v>
      </x:c>
      <x:c r="N111" s="32" t="str">
        <x:v>เสื้อไหมพรมลุคนี้ดูเรียบแต่มีเสน่ห์ดีค่ะ ลองใช้ดีเทลตรงคอกับข้อมือแบบในรูปดูค่ะ น่าจะช่วยให้ทั้งลุคคอมพลีตขึ้นมาก</x:v>
      </x:c>
      <x:c r="O111" s="32" t="str">
        <x:v>เสื้อไหมพรมลุคนี้ดูเรียบแต่มีเสน่ห์ดีค่ะ ลองใช้ดีเทลตรงคอกับข้อมือแบบในรูปดูค่ะ น่าจะช่วยให้ทั้งลุคคอมพลีตขึ้นมาก</x:v>
      </x:c>
      <x:c r="P111" s="32" t="n">
        <x:v>0</x:v>
      </x:c>
      <x:c r="Q111" s="32" t="str"/>
      <x:c r="R111" s="32" t="str">
        <x:v>None</x:v>
      </x:c>
      <x:c r="S111" s="32" t="str">
        <x:v>30m</x:v>
      </x:c>
      <x:c r="T111" s="32" t="str">
        <x:f>IF(I111="Inconclusive","Inconclusive",IF(AND(OR(R111="User",R111="Mixed"),J111&lt;&gt;""),IF(R111="Mixed","Mixed Reply","Verified User Reply"),"No Verified User Reply"))</x:f>
        <x:v>No Verified User Reply</x:v>
      </x:c>
      <x:c r="U111" s="32" t="str">
        <x:v>BATCH-VERIFY-30M</x:v>
      </x:c>
      <x:c r="V111" s="32" t="str">
        <x:f>D111&amp;"|"&amp;S111</x:f>
        <x:v>IC-0054|30m</x:v>
      </x:c>
      <x:c r="W111" s="32" t="str">
        <x:f>I111</x:f>
        <x:v>Visible</x:v>
      </x:c>
      <x:c r="X111" s="32" t="str">
        <x:f>R111</x:f>
        <x:v>None</x:v>
      </x:c>
      <x:c r="Y111" s="33" t="str">
        <x:f>T111</x:f>
        <x:v>No Verified User Reply</x:v>
      </x:c>
    </x:row>
    <x:row r="112">
      <x:c r="A112" s="49" t="n">
        <x:v>46227</x:v>
      </x:c>
      <x:c r="B112" s="32" t="str">
        <x:v>12:00</x:v>
      </x:c>
      <x:c r="C112" s="52" t="n">
        <x:v>46226</x:v>
      </x:c>
      <x:c r="D112" s="32" t="str">
        <x:v>IC-0054</x:v>
      </x:c>
      <x:c r="E112" s="32" t="str">
        <x:v>Account Slot 4</x:v>
      </x:c>
      <x:c r="F112" s="32" t="str">
        <x:v>https://video.invalid/case/V0054</x:v>
      </x:c>
      <x:c r="G112" s="32" t="str">
        <x:v>creator_case_054</x:v>
      </x:c>
      <x:c r="H112" s="32" t="str">
        <x:v>Pending</x:v>
      </x:c>
      <x:c r="I112" s="32" t="str">
        <x:v>Visible</x:v>
      </x:c>
      <x:c r="J112" s="32" t="str">
        <x:v>EVD-SYN-0054-24H</x:v>
      </x:c>
      <x:c r="K112" s="32" t="str">
        <x:v>24h verification</x:v>
      </x:c>
      <x:c r="L112" s="32" t="str">
        <x:v>None</x:v>
      </x:c>
      <x:c r="M112" s="32" t="str">
        <x:v>Pass</x:v>
      </x:c>
      <x:c r="N112" s="32" t="str">
        <x:v>เสื้อไหมพรมลุคนี้ดูเรียบแต่มีเสน่ห์ดีค่ะ ลองใช้ดีเทลตรงคอกับข้อมือแบบในรูปดูค่ะ น่าจะช่วยให้ทั้งลุคคอมพลีตขึ้นมาก</x:v>
      </x:c>
      <x:c r="O112" s="32" t="str">
        <x:v>เสื้อไหมพรมลุคนี้ดูเรียบแต่มีเสน่ห์ดีค่ะ ลองใช้ดีเทลตรงคอกับข้อมือแบบในรูปดูค่ะ น่าจะช่วยให้ทั้งลุคคอมพลีตขึ้นมาก</x:v>
      </x:c>
      <x:c r="P112" s="32" t="n">
        <x:v>0</x:v>
      </x:c>
      <x:c r="Q112" s="32" t="str"/>
      <x:c r="R112" s="32" t="str">
        <x:v>None</x:v>
      </x:c>
      <x:c r="S112" s="32" t="str">
        <x:v>24h</x:v>
      </x:c>
      <x:c r="T112" s="32" t="str">
        <x:f>IF(I112="Inconclusive","Inconclusive",IF(AND(OR(R112="User",R112="Mixed"),J112&lt;&gt;""),IF(R112="Mixed","Mixed Reply","Verified User Reply"),"No Verified User Reply"))</x:f>
        <x:v>No Verified User Reply</x:v>
      </x:c>
      <x:c r="U112" s="32" t="str">
        <x:v>BATCH-VERIFY-24H</x:v>
      </x:c>
      <x:c r="V112" s="32" t="str">
        <x:f>D112&amp;"|"&amp;S112</x:f>
        <x:v>IC-0054|24h</x:v>
      </x:c>
      <x:c r="W112" s="32" t="str">
        <x:f>I112</x:f>
        <x:v>Visible</x:v>
      </x:c>
      <x:c r="X112" s="32" t="str">
        <x:f>R112</x:f>
        <x:v>None</x:v>
      </x:c>
      <x:c r="Y112" s="33" t="str">
        <x:f>T112</x:f>
        <x:v>No Verified User Reply</x:v>
      </x:c>
    </x:row>
    <x:row r="113">
      <x:c r="A113" s="49" t="n">
        <x:v>46226</x:v>
      </x:c>
      <x:c r="B113" s="32" t="str">
        <x:v>12:30</x:v>
      </x:c>
      <x:c r="C113" s="52" t="n">
        <x:v>46226</x:v>
      </x:c>
      <x:c r="D113" s="32" t="str">
        <x:v>IC-0055</x:v>
      </x:c>
      <x:c r="E113" s="32" t="str">
        <x:v>Account Slot 5</x:v>
      </x:c>
      <x:c r="F113" s="32" t="str">
        <x:v>https://video.invalid/case/V0055</x:v>
      </x:c>
      <x:c r="G113" s="32" t="str">
        <x:v>creator_case_055</x:v>
      </x:c>
      <x:c r="H113" s="32" t="str">
        <x:v>Pending</x:v>
      </x:c>
      <x:c r="I113" s="32" t="str">
        <x:v>Missing</x:v>
      </x:c>
      <x:c r="J113" s="32" t="str">
        <x:v>EVD-SYN-0055-30M</x:v>
      </x:c>
      <x:c r="K113" s="32" t="str">
        <x:v>30m verification</x:v>
      </x:c>
      <x:c r="L113" s="32" t="str">
        <x:v>None</x:v>
      </x:c>
      <x:c r="M113" s="32" t="str">
        <x:v>Pass</x:v>
      </x:c>
      <x:c r="N113" s="32" t="str">
        <x:v>ลุคทำงานนี้ดูสุภาพและใช้งานจริงได้มากค่ะ ดีเทลกระดุมดอกไม้ตรงคอและปลายแขนแบบในรูปช่วยให้เสื้อเรียบดูมีเรื่องราวขึ้นเลย</x:v>
      </x:c>
      <x:c r="O113" s="32"/>
      <x:c r="P113" s="32" t="n">
        <x:v>0</x:v>
      </x:c>
      <x:c r="Q113" s="32" t="str"/>
      <x:c r="R113" s="32" t="str">
        <x:v>None</x:v>
      </x:c>
      <x:c r="S113" s="32" t="str">
        <x:v>30m</x:v>
      </x:c>
      <x:c r="T113" s="32" t="str">
        <x:f>IF(I113="Inconclusive","Inconclusive",IF(AND(OR(R113="User",R113="Mixed"),J113&lt;&gt;""),IF(R113="Mixed","Mixed Reply","Verified User Reply"),"No Verified User Reply"))</x:f>
        <x:v>No Verified User Reply</x:v>
      </x:c>
      <x:c r="U113" s="32" t="str">
        <x:v>BATCH-VERIFY-30M</x:v>
      </x:c>
      <x:c r="V113" s="32" t="str">
        <x:f>D113&amp;"|"&amp;S113</x:f>
        <x:v>IC-0055|30m</x:v>
      </x:c>
      <x:c r="W113" s="32" t="str">
        <x:f>I113</x:f>
        <x:v>Missing</x:v>
      </x:c>
      <x:c r="X113" s="32" t="str">
        <x:f>R113</x:f>
        <x:v>None</x:v>
      </x:c>
      <x:c r="Y113" s="33" t="str">
        <x:f>T113</x:f>
        <x:v>No Verified User Reply</x:v>
      </x:c>
    </x:row>
    <x:row r="114">
      <x:c r="A114" s="49" t="n">
        <x:v>46227</x:v>
      </x:c>
      <x:c r="B114" s="32" t="str">
        <x:v>12:00</x:v>
      </x:c>
      <x:c r="C114" s="52" t="n">
        <x:v>46226</x:v>
      </x:c>
      <x:c r="D114" s="32" t="str">
        <x:v>IC-0055</x:v>
      </x:c>
      <x:c r="E114" s="32" t="str">
        <x:v>Account Slot 5</x:v>
      </x:c>
      <x:c r="F114" s="32" t="str">
        <x:v>https://video.invalid/case/V0055</x:v>
      </x:c>
      <x:c r="G114" s="32" t="str">
        <x:v>creator_case_055</x:v>
      </x:c>
      <x:c r="H114" s="32" t="str">
        <x:v>Pending</x:v>
      </x:c>
      <x:c r="I114" s="32" t="str">
        <x:v>Visible</x:v>
      </x:c>
      <x:c r="J114" s="32" t="str">
        <x:v>EVD-SYN-0055-24H</x:v>
      </x:c>
      <x:c r="K114" s="32" t="str">
        <x:v>24h verification</x:v>
      </x:c>
      <x:c r="L114" s="32" t="str">
        <x:v>None</x:v>
      </x:c>
      <x:c r="M114" s="32" t="str">
        <x:v>Pass</x:v>
      </x:c>
      <x:c r="N114" s="32" t="str">
        <x:v>ลุคทำงานนี้ดูสุภาพและใช้งานจริงได้มากค่ะ ดีเทลกระดุมดอกไม้ตรงคอและปลายแขนแบบในรูปช่วยให้เสื้อเรียบดูมีเรื่องราวขึ้นเลย</x:v>
      </x:c>
      <x:c r="O114" s="32" t="str">
        <x:v>ลุคทำงานนี้ดูสุภาพและใช้งานจริงได้มากค่ะ ดีเทลกระดุมดอกไม้ตรงคอและปลายแขนแบบในรูปช่วยให้เสื้อเรียบดูมีเรื่องราวขึ้นเลย</x:v>
      </x:c>
      <x:c r="P114" s="32" t="n">
        <x:v>0</x:v>
      </x:c>
      <x:c r="Q114" s="32" t="str"/>
      <x:c r="R114" s="32" t="str">
        <x:v>None</x:v>
      </x:c>
      <x:c r="S114" s="32" t="str">
        <x:v>24h</x:v>
      </x:c>
      <x:c r="T114" s="32" t="str">
        <x:f>IF(I114="Inconclusive","Inconclusive",IF(AND(OR(R114="User",R114="Mixed"),J114&lt;&gt;""),IF(R114="Mixed","Mixed Reply","Verified User Reply"),"No Verified User Reply"))</x:f>
        <x:v>No Verified User Reply</x:v>
      </x:c>
      <x:c r="U114" s="32" t="str">
        <x:v>BATCH-VERIFY-24H</x:v>
      </x:c>
      <x:c r="V114" s="32" t="str">
        <x:f>D114&amp;"|"&amp;S114</x:f>
        <x:v>IC-0055|24h</x:v>
      </x:c>
      <x:c r="W114" s="32" t="str">
        <x:f>I114</x:f>
        <x:v>Visible</x:v>
      </x:c>
      <x:c r="X114" s="32" t="str">
        <x:f>R114</x:f>
        <x:v>None</x:v>
      </x:c>
      <x:c r="Y114" s="33" t="str">
        <x:f>T114</x:f>
        <x:v>No Verified User Reply</x:v>
      </x:c>
    </x:row>
    <x:row r="115">
      <x:c r="A115" s="49" t="n">
        <x:v>46226</x:v>
      </x:c>
      <x:c r="B115" s="32" t="str">
        <x:v>12:30</x:v>
      </x:c>
      <x:c r="C115" s="52" t="n">
        <x:v>46226</x:v>
      </x:c>
      <x:c r="D115" s="32" t="str">
        <x:v>IC-0056</x:v>
      </x:c>
      <x:c r="E115" s="32" t="str">
        <x:v>Account Slot 6</x:v>
      </x:c>
      <x:c r="F115" s="32" t="str">
        <x:v>https://video.invalid/case/V0056</x:v>
      </x:c>
      <x:c r="G115" s="32" t="str">
        <x:v>creator_case_056</x:v>
      </x:c>
      <x:c r="H115" s="32" t="str">
        <x:v>Pending</x:v>
      </x:c>
      <x:c r="I115" s="32" t="str">
        <x:v>Visible</x:v>
      </x:c>
      <x:c r="J115" s="32" t="str">
        <x:v>EVD-SYN-0056-30M</x:v>
      </x:c>
      <x:c r="K115" s="32" t="str">
        <x:v>30m verification</x:v>
      </x:c>
      <x:c r="L115" s="32" t="str">
        <x:v>None</x:v>
      </x:c>
      <x:c r="M115" s="32" t="str">
        <x:v>Pass</x:v>
      </x:c>
      <x:c r="N115" s="32" t="str">
        <x:v>เสื้อไหมพรมลุคนี้ดูเรียบแต่มีเสน่ห์ดีค่ะ ถ้าเล่นลูกเล่นกระดุมดอกไม้เล็ก ๆ แบบในรูป ช่วงบนของลุคน่าจะเด่นขึ้นพอดีค่ะ</x:v>
      </x:c>
      <x:c r="O115" s="32" t="str">
        <x:v>เสื้อไหมพรมลุคนี้ดูเรียบแต่มีเสน่ห์ดีค่ะ ถ้าเล่นลูกเล่นกระดุมดอกไม้เล็ก ๆ แบบในรูป ช่วงบนของลุคน่าจะเด่นขึ้นพอดีค่ะ</x:v>
      </x:c>
      <x:c r="P115" s="32" t="n">
        <x:v>1</x:v>
      </x:c>
      <x:c r="Q115" s="32" t="str">
        <x:v>Synthetic reply preview</x:v>
      </x:c>
      <x:c r="R115" s="32" t="str">
        <x:v>Creator</x:v>
      </x:c>
      <x:c r="S115" s="32" t="str">
        <x:v>30m</x:v>
      </x:c>
      <x:c r="T115" s="32" t="str">
        <x:f>IF(I115="Inconclusive","Inconclusive",IF(AND(OR(R115="User",R115="Mixed"),J115&lt;&gt;""),IF(R115="Mixed","Mixed Reply","Verified User Reply"),"No Verified User Reply"))</x:f>
        <x:v>No Verified User Reply</x:v>
      </x:c>
      <x:c r="U115" s="32" t="str">
        <x:v>BATCH-VERIFY-30M</x:v>
      </x:c>
      <x:c r="V115" s="32" t="str">
        <x:f>D115&amp;"|"&amp;S115</x:f>
        <x:v>IC-0056|30m</x:v>
      </x:c>
      <x:c r="W115" s="32" t="str">
        <x:f>I115</x:f>
        <x:v>Visible</x:v>
      </x:c>
      <x:c r="X115" s="32" t="str">
        <x:f>R115</x:f>
        <x:v>Creator</x:v>
      </x:c>
      <x:c r="Y115" s="33" t="str">
        <x:f>T115</x:f>
        <x:v>No Verified User Reply</x:v>
      </x:c>
    </x:row>
    <x:row r="116">
      <x:c r="A116" s="49" t="n">
        <x:v>46227</x:v>
      </x:c>
      <x:c r="B116" s="32" t="str">
        <x:v>12:00</x:v>
      </x:c>
      <x:c r="C116" s="52" t="n">
        <x:v>46226</x:v>
      </x:c>
      <x:c r="D116" s="32" t="str">
        <x:v>IC-0056</x:v>
      </x:c>
      <x:c r="E116" s="32" t="str">
        <x:v>Account Slot 6</x:v>
      </x:c>
      <x:c r="F116" s="32" t="str">
        <x:v>https://video.invalid/case/V0056</x:v>
      </x:c>
      <x:c r="G116" s="32" t="str">
        <x:v>creator_case_056</x:v>
      </x:c>
      <x:c r="H116" s="32" t="str">
        <x:v>Pending</x:v>
      </x:c>
      <x:c r="I116" s="32" t="str">
        <x:v>Missing</x:v>
      </x:c>
      <x:c r="J116" s="32" t="str">
        <x:v>EVD-SYN-0056-24H</x:v>
      </x:c>
      <x:c r="K116" s="32" t="str">
        <x:v>24h verification</x:v>
      </x:c>
      <x:c r="L116" s="32" t="str">
        <x:v>None</x:v>
      </x:c>
      <x:c r="M116" s="32" t="str">
        <x:v>Pass</x:v>
      </x:c>
      <x:c r="N116" s="32" t="str">
        <x:v>เสื้อไหมพรมลุคนี้ดูเรียบแต่มีเสน่ห์ดีค่ะ ถ้าเล่นลูกเล่นกระดุมดอกไม้เล็ก ๆ แบบในรูป ช่วงบนของลุคน่าจะเด่นขึ้นพอดีค่ะ</x:v>
      </x:c>
      <x:c r="O116" s="32"/>
      <x:c r="P116" s="32" t="n">
        <x:v>0</x:v>
      </x:c>
      <x:c r="Q116" s="32" t="str"/>
      <x:c r="R116" s="32" t="str">
        <x:v>None</x:v>
      </x:c>
      <x:c r="S116" s="32" t="str">
        <x:v>24h</x:v>
      </x:c>
      <x:c r="T116" s="32" t="str">
        <x:f>IF(I116="Inconclusive","Inconclusive",IF(AND(OR(R116="User",R116="Mixed"),J116&lt;&gt;""),IF(R116="Mixed","Mixed Reply","Verified User Reply"),"No Verified User Reply"))</x:f>
        <x:v>No Verified User Reply</x:v>
      </x:c>
      <x:c r="U116" s="32" t="str">
        <x:v>BATCH-VERIFY-24H</x:v>
      </x:c>
      <x:c r="V116" s="32" t="str">
        <x:f>D116&amp;"|"&amp;S116</x:f>
        <x:v>IC-0056|24h</x:v>
      </x:c>
      <x:c r="W116" s="32" t="str">
        <x:f>I116</x:f>
        <x:v>Missing</x:v>
      </x:c>
      <x:c r="X116" s="32" t="str">
        <x:f>R116</x:f>
        <x:v>None</x:v>
      </x:c>
      <x:c r="Y116" s="33" t="str">
        <x:f>T116</x:f>
        <x:v>No Verified User Reply</x:v>
      </x:c>
    </x:row>
    <x:row r="117">
      <x:c r="A117" s="49" t="n">
        <x:v>46226</x:v>
      </x:c>
      <x:c r="B117" s="32" t="str">
        <x:v>12:30</x:v>
      </x:c>
      <x:c r="C117" s="52" t="n">
        <x:v>46226</x:v>
      </x:c>
      <x:c r="D117" s="32" t="str">
        <x:v>IC-0057</x:v>
      </x:c>
      <x:c r="E117" s="32" t="str">
        <x:v>Account Slot 7</x:v>
      </x:c>
      <x:c r="F117" s="32" t="str">
        <x:v>https://video.invalid/case/V0057</x:v>
      </x:c>
      <x:c r="G117" s="32" t="str">
        <x:v>creator_case_057</x:v>
      </x:c>
      <x:c r="H117" s="32" t="str">
        <x:v>Pending</x:v>
      </x:c>
      <x:c r="I117" s="32" t="str">
        <x:v>Visible</x:v>
      </x:c>
      <x:c r="J117" s="32" t="str">
        <x:v>EVD-SYN-0057-30M</x:v>
      </x:c>
      <x:c r="K117" s="32" t="str">
        <x:v>30m verification</x:v>
      </x:c>
      <x:c r="L117" s="32" t="str">
        <x:v>None</x:v>
      </x:c>
      <x:c r="M117" s="32" t="str">
        <x:v>Pass</x:v>
      </x:c>
      <x:c r="N117" s="32" t="str">
        <x:v>คาร์ดิแกนลุคนี้ให้มู้ดละมุนและดูใส่สบายมากค่ะ ดีเทลคอเสื้อกับปลายแขนแบบในรูปช่วยเปลี่ยนเสื้อตัวเดิมให้ดูพิเศษขึ้นพอดี</x:v>
      </x:c>
      <x:c r="O117" s="32" t="str">
        <x:v>คาร์ดิแกนลุคนี้ให้มู้ดละมุนและดูใส่สบายมากค่ะ ดีเทลคอเสื้อกับปลายแขนแบบในรูปช่วยเปลี่ยนเสื้อตัวเดิมให้ดูพิเศษขึ้นพอดี</x:v>
      </x:c>
      <x:c r="P117" s="32" t="n">
        <x:v>1</x:v>
      </x:c>
      <x:c r="Q117" s="32" t="str">
        <x:v>Synthetic reply preview</x:v>
      </x:c>
      <x:c r="R117" s="32" t="str">
        <x:v>User</x:v>
      </x:c>
      <x:c r="S117" s="32" t="str">
        <x:v>30m</x:v>
      </x:c>
      <x:c r="T117" s="32" t="str">
        <x:f>IF(I117="Inconclusive","Inconclusive",IF(AND(OR(R117="User",R117="Mixed"),J117&lt;&gt;""),IF(R117="Mixed","Mixed Reply","Verified User Reply"),"No Verified User Reply"))</x:f>
        <x:v>Verified User Reply</x:v>
      </x:c>
      <x:c r="U117" s="32" t="str">
        <x:v>BATCH-VERIFY-30M</x:v>
      </x:c>
      <x:c r="V117" s="32" t="str">
        <x:f>D117&amp;"|"&amp;S117</x:f>
        <x:v>IC-0057|30m</x:v>
      </x:c>
      <x:c r="W117" s="32" t="str">
        <x:f>I117</x:f>
        <x:v>Visible</x:v>
      </x:c>
      <x:c r="X117" s="32" t="str">
        <x:f>R117</x:f>
        <x:v>User</x:v>
      </x:c>
      <x:c r="Y117" s="33" t="str">
        <x:f>T117</x:f>
        <x:v>Verified User Reply</x:v>
      </x:c>
    </x:row>
    <x:row r="118">
      <x:c r="A118" s="49" t="n">
        <x:v>46227</x:v>
      </x:c>
      <x:c r="B118" s="32" t="str">
        <x:v>12:00</x:v>
      </x:c>
      <x:c r="C118" s="52" t="n">
        <x:v>46226</x:v>
      </x:c>
      <x:c r="D118" s="32" t="str">
        <x:v>IC-0057</x:v>
      </x:c>
      <x:c r="E118" s="32" t="str">
        <x:v>Account Slot 7</x:v>
      </x:c>
      <x:c r="F118" s="32" t="str">
        <x:v>https://video.invalid/case/V0057</x:v>
      </x:c>
      <x:c r="G118" s="32" t="str">
        <x:v>creator_case_057</x:v>
      </x:c>
      <x:c r="H118" s="32" t="str">
        <x:v>Pending</x:v>
      </x:c>
      <x:c r="I118" s="32" t="str">
        <x:v>Visible</x:v>
      </x:c>
      <x:c r="J118" s="32" t="str">
        <x:v>EVD-SYN-0057-24H</x:v>
      </x:c>
      <x:c r="K118" s="32" t="str">
        <x:v>24h verification</x:v>
      </x:c>
      <x:c r="L118" s="32" t="str">
        <x:v>None</x:v>
      </x:c>
      <x:c r="M118" s="32" t="str">
        <x:v>Pass</x:v>
      </x:c>
      <x:c r="N118" s="32" t="str">
        <x:v>คาร์ดิแกนลุคนี้ให้มู้ดละมุนและดูใส่สบายมากค่ะ ดีเทลคอเสื้อกับปลายแขนแบบในรูปช่วยเปลี่ยนเสื้อตัวเดิมให้ดูพิเศษขึ้นพอดี</x:v>
      </x:c>
      <x:c r="O118" s="32" t="str">
        <x:v>คาร์ดิแกนลุคนี้ให้มู้ดละมุนและดูใส่สบายมากค่ะ ดีเทลคอเสื้อกับปลายแขนแบบในรูปช่วยเปลี่ยนเสื้อตัวเดิมให้ดูพิเศษขึ้นพอดี</x:v>
      </x:c>
      <x:c r="P118" s="32" t="n">
        <x:v>1</x:v>
      </x:c>
      <x:c r="Q118" s="32" t="str">
        <x:v>Synthetic reply preview</x:v>
      </x:c>
      <x:c r="R118" s="32" t="str">
        <x:v>User</x:v>
      </x:c>
      <x:c r="S118" s="32" t="str">
        <x:v>24h</x:v>
      </x:c>
      <x:c r="T118" s="32" t="str">
        <x:f>IF(I118="Inconclusive","Inconclusive",IF(AND(OR(R118="User",R118="Mixed"),J118&lt;&gt;""),IF(R118="Mixed","Mixed Reply","Verified User Reply"),"No Verified User Reply"))</x:f>
        <x:v>Verified User Reply</x:v>
      </x:c>
      <x:c r="U118" s="32" t="str">
        <x:v>BATCH-VERIFY-24H</x:v>
      </x:c>
      <x:c r="V118" s="32" t="str">
        <x:f>D118&amp;"|"&amp;S118</x:f>
        <x:v>IC-0057|24h</x:v>
      </x:c>
      <x:c r="W118" s="32" t="str">
        <x:f>I118</x:f>
        <x:v>Visible</x:v>
      </x:c>
      <x:c r="X118" s="32" t="str">
        <x:f>R118</x:f>
        <x:v>User</x:v>
      </x:c>
      <x:c r="Y118" s="33" t="str">
        <x:f>T118</x:f>
        <x:v>Verified User Reply</x:v>
      </x:c>
    </x:row>
    <x:row r="119">
      <x:c r="A119" s="49" t="n">
        <x:v>46226</x:v>
      </x:c>
      <x:c r="B119" s="32" t="str">
        <x:v>12:30</x:v>
      </x:c>
      <x:c r="C119" s="52" t="n">
        <x:v>46226</x:v>
      </x:c>
      <x:c r="D119" s="32" t="str">
        <x:v>IC-0058</x:v>
      </x:c>
      <x:c r="E119" s="32" t="str">
        <x:v>Account Slot 8</x:v>
      </x:c>
      <x:c r="F119" s="32" t="str">
        <x:v>https://video.invalid/case/V0058</x:v>
      </x:c>
      <x:c r="G119" s="32" t="str">
        <x:v>creator_case_058</x:v>
      </x:c>
      <x:c r="H119" s="32" t="str">
        <x:v>Pending</x:v>
      </x:c>
      <x:c r="I119" s="32" t="str">
        <x:v>Visible</x:v>
      </x:c>
      <x:c r="J119" s="32" t="str">
        <x:v>EVD-SYN-0058-30M</x:v>
      </x:c>
      <x:c r="K119" s="32" t="str">
        <x:v>30m verification</x:v>
      </x:c>
      <x:c r="L119" s="32" t="str">
        <x:v>None</x:v>
      </x:c>
      <x:c r="M119" s="32" t="str">
        <x:v>Pass</x:v>
      </x:c>
      <x:c r="N119" s="32" t="str">
        <x:v>blazer ทรงนี้ทำให้ภาพรวมดูเป็นมืออาชีพแบบพอดีค่ะ ลองเติมดีเทลตรงปกและแนวกระดุมแบบในรูปค่ะ ช่วยให้ลุคเข้มดูนุ่มนวลขึ้นได้ดีเลย</x:v>
      </x:c>
      <x:c r="O119" s="32" t="str">
        <x:v>blazer ทรงนี้ทำให้ภาพรวมดูเป็นมืออาชีพแบบพอดีค่ะ ลองเติมดีเทลตรงปกและแนวกระดุมแบบในรูปค่ะ ช่วยให้ลุคเข้มดูนุ่มนวลขึ้นได้ดีเลย</x:v>
      </x:c>
      <x:c r="P119" s="32" t="n">
        <x:v>0</x:v>
      </x:c>
      <x:c r="Q119" s="32" t="str"/>
      <x:c r="R119" s="32" t="str">
        <x:v>None</x:v>
      </x:c>
      <x:c r="S119" s="32" t="str">
        <x:v>30m</x:v>
      </x:c>
      <x:c r="T119" s="32" t="str">
        <x:f>IF(I119="Inconclusive","Inconclusive",IF(AND(OR(R119="User",R119="Mixed"),J119&lt;&gt;""),IF(R119="Mixed","Mixed Reply","Verified User Reply"),"No Verified User Reply"))</x:f>
        <x:v>No Verified User Reply</x:v>
      </x:c>
      <x:c r="U119" s="32" t="str">
        <x:v>BATCH-VERIFY-30M</x:v>
      </x:c>
      <x:c r="V119" s="32" t="str">
        <x:f>D119&amp;"|"&amp;S119</x:f>
        <x:v>IC-0058|30m</x:v>
      </x:c>
      <x:c r="W119" s="32" t="str">
        <x:f>I119</x:f>
        <x:v>Visible</x:v>
      </x:c>
      <x:c r="X119" s="32" t="str">
        <x:f>R119</x:f>
        <x:v>None</x:v>
      </x:c>
      <x:c r="Y119" s="33" t="str">
        <x:f>T119</x:f>
        <x:v>No Verified User Reply</x:v>
      </x:c>
    </x:row>
    <x:row r="120">
      <x:c r="A120" s="49" t="n">
        <x:v>46227</x:v>
      </x:c>
      <x:c r="B120" s="32" t="str">
        <x:v>12:00</x:v>
      </x:c>
      <x:c r="C120" s="52" t="n">
        <x:v>46226</x:v>
      </x:c>
      <x:c r="D120" s="32" t="str">
        <x:v>IC-0058</x:v>
      </x:c>
      <x:c r="E120" s="32" t="str">
        <x:v>Account Slot 8</x:v>
      </x:c>
      <x:c r="F120" s="32" t="str">
        <x:v>https://video.invalid/case/V0058</x:v>
      </x:c>
      <x:c r="G120" s="32" t="str">
        <x:v>creator_case_058</x:v>
      </x:c>
      <x:c r="H120" s="32" t="str">
        <x:v>Pending</x:v>
      </x:c>
      <x:c r="I120" s="32" t="str">
        <x:v>Visible</x:v>
      </x:c>
      <x:c r="J120" s="32" t="str">
        <x:v>EVD-SYN-0058-24H</x:v>
      </x:c>
      <x:c r="K120" s="32" t="str">
        <x:v>24h verification</x:v>
      </x:c>
      <x:c r="L120" s="32" t="str">
        <x:v>None</x:v>
      </x:c>
      <x:c r="M120" s="32" t="str">
        <x:v>Pass</x:v>
      </x:c>
      <x:c r="N120" s="32" t="str">
        <x:v>blazer ทรงนี้ทำให้ภาพรวมดูเป็นมืออาชีพแบบพอดีค่ะ ลองเติมดีเทลตรงปกและแนวกระดุมแบบในรูปค่ะ ช่วยให้ลุคเข้มดูนุ่มนวลขึ้นได้ดีเลย</x:v>
      </x:c>
      <x:c r="O120" s="32" t="str">
        <x:v>blazer ทรงนี้ทำให้ภาพรวมดูเป็นมืออาชีพแบบพอดีค่ะ ลองเติมดีเทลตรงปกและแนวกระดุมแบบในรูปค่ะ ช่วยให้ลุคเข้มดูนุ่มนวลขึ้นได้ดีเลย</x:v>
      </x:c>
      <x:c r="P120" s="32" t="n">
        <x:v>0</x:v>
      </x:c>
      <x:c r="Q120" s="32" t="str"/>
      <x:c r="R120" s="32" t="str">
        <x:v>None</x:v>
      </x:c>
      <x:c r="S120" s="32" t="str">
        <x:v>24h</x:v>
      </x:c>
      <x:c r="T120" s="32" t="str">
        <x:f>IF(I120="Inconclusive","Inconclusive",IF(AND(OR(R120="User",R120="Mixed"),J120&lt;&gt;""),IF(R120="Mixed","Mixed Reply","Verified User Reply"),"No Verified User Reply"))</x:f>
        <x:v>No Verified User Reply</x:v>
      </x:c>
      <x:c r="U120" s="32" t="str">
        <x:v>BATCH-VERIFY-24H</x:v>
      </x:c>
      <x:c r="V120" s="32" t="str">
        <x:f>D120&amp;"|"&amp;S120</x:f>
        <x:v>IC-0058|24h</x:v>
      </x:c>
      <x:c r="W120" s="32" t="str">
        <x:f>I120</x:f>
        <x:v>Visible</x:v>
      </x:c>
      <x:c r="X120" s="32" t="str">
        <x:f>R120</x:f>
        <x:v>None</x:v>
      </x:c>
      <x:c r="Y120" s="33" t="str">
        <x:f>T120</x:f>
        <x:v>No Verified User Reply</x:v>
      </x:c>
    </x:row>
    <x:row r="121">
      <x:c r="A121" s="49" t="n">
        <x:v>46226</x:v>
      </x:c>
      <x:c r="B121" s="32" t="str">
        <x:v>12:30</x:v>
      </x:c>
      <x:c r="C121" s="52" t="n">
        <x:v>46226</x:v>
      </x:c>
      <x:c r="D121" s="32" t="str">
        <x:v>IC-0059</x:v>
      </x:c>
      <x:c r="E121" s="32" t="str">
        <x:v>Account Slot 9</x:v>
      </x:c>
      <x:c r="F121" s="32" t="str">
        <x:v>https://video.invalid/case/V0059</x:v>
      </x:c>
      <x:c r="G121" s="32" t="str">
        <x:v>creator_case_059</x:v>
      </x:c>
      <x:c r="H121" s="32" t="str">
        <x:v>Pending</x:v>
      </x:c>
      <x:c r="I121" s="32" t="str">
        <x:v>Visible</x:v>
      </x:c>
      <x:c r="J121" s="32" t="str">
        <x:v>EVD-SYN-0059-30M</x:v>
      </x:c>
      <x:c r="K121" s="32" t="str">
        <x:v>30m verification</x:v>
      </x:c>
      <x:c r="L121" s="32" t="str">
        <x:v>None</x:v>
      </x:c>
      <x:c r="M121" s="32" t="str">
        <x:v>Pass</x:v>
      </x:c>
      <x:c r="N121" s="32" t="str">
        <x:v>มู้ด working woman แบบนี้ดูแพงและมีคาแรกเตอร์มาก จุดเด่นเล็ก ๆ บนเบลเซอร์แบบในรูปทำให้ลุคโทนเข้มดูแพงขึ้นโดยไม่เยอะเกินไป</x:v>
      </x:c>
      <x:c r="O121" s="32" t="str">
        <x:v>มู้ด working woman แบบนี้ดูแพงและมีคาแรกเตอร์มาก จุดเด่นเล็ก ๆ บนเบลเซอร์แบบในรูปทำให้ลุคโทนเข้มดูแพงขึ้นโดยไม่เยอะเกินไป</x:v>
      </x:c>
      <x:c r="P121" s="32" t="n">
        <x:v>0</x:v>
      </x:c>
      <x:c r="Q121" s="32" t="str"/>
      <x:c r="R121" s="32" t="str">
        <x:v>None</x:v>
      </x:c>
      <x:c r="S121" s="32" t="str">
        <x:v>30m</x:v>
      </x:c>
      <x:c r="T121" s="32" t="str">
        <x:f>IF(I121="Inconclusive","Inconclusive",IF(AND(OR(R121="User",R121="Mixed"),J121&lt;&gt;""),IF(R121="Mixed","Mixed Reply","Verified User Reply"),"No Verified User Reply"))</x:f>
        <x:v>No Verified User Reply</x:v>
      </x:c>
      <x:c r="U121" s="32" t="str">
        <x:v>BATCH-VERIFY-30M</x:v>
      </x:c>
      <x:c r="V121" s="32" t="str">
        <x:f>D121&amp;"|"&amp;S121</x:f>
        <x:v>IC-0059|30m</x:v>
      </x:c>
      <x:c r="W121" s="32" t="str">
        <x:f>I121</x:f>
        <x:v>Visible</x:v>
      </x:c>
      <x:c r="X121" s="32" t="str">
        <x:f>R121</x:f>
        <x:v>None</x:v>
      </x:c>
      <x:c r="Y121" s="33" t="str">
        <x:f>T121</x:f>
        <x:v>No Verified User Reply</x:v>
      </x:c>
    </x:row>
    <x:row r="122">
      <x:c r="A122" s="49" t="n">
        <x:v>46227</x:v>
      </x:c>
      <x:c r="B122" s="32" t="str">
        <x:v>12:00</x:v>
      </x:c>
      <x:c r="C122" s="52" t="n">
        <x:v>46226</x:v>
      </x:c>
      <x:c r="D122" s="32" t="str">
        <x:v>IC-0059</x:v>
      </x:c>
      <x:c r="E122" s="32" t="str">
        <x:v>Account Slot 9</x:v>
      </x:c>
      <x:c r="F122" s="32" t="str">
        <x:v>https://video.invalid/case/V0059</x:v>
      </x:c>
      <x:c r="G122" s="32" t="str">
        <x:v>creator_case_059</x:v>
      </x:c>
      <x:c r="H122" s="32" t="str">
        <x:v>Pending</x:v>
      </x:c>
      <x:c r="I122" s="32" t="str">
        <x:v>Visible</x:v>
      </x:c>
      <x:c r="J122" s="32" t="str">
        <x:v>EVD-SYN-0059-24H</x:v>
      </x:c>
      <x:c r="K122" s="32" t="str">
        <x:v>24h verification</x:v>
      </x:c>
      <x:c r="L122" s="32" t="str">
        <x:v>None</x:v>
      </x:c>
      <x:c r="M122" s="32" t="str">
        <x:v>Pass</x:v>
      </x:c>
      <x:c r="N122" s="32" t="str">
        <x:v>มู้ด working woman แบบนี้ดูแพงและมีคาแรกเตอร์มาก จุดเด่นเล็ก ๆ บนเบลเซอร์แบบในรูปทำให้ลุคโทนเข้มดูแพงขึ้นโดยไม่เยอะเกินไป</x:v>
      </x:c>
      <x:c r="O122" s="32" t="str">
        <x:v>มู้ด working woman แบบนี้ดูแพงและมีคาแรกเตอร์มาก จุดเด่นเล็ก ๆ บนเบลเซอร์แบบในรูปทำให้ลุคโทนเข้มดูแพงขึ้นโดยไม่เยอะเกินไป</x:v>
      </x:c>
      <x:c r="P122" s="32" t="n">
        <x:v>0</x:v>
      </x:c>
      <x:c r="Q122" s="32" t="str"/>
      <x:c r="R122" s="32" t="str">
        <x:v>None</x:v>
      </x:c>
      <x:c r="S122" s="32" t="str">
        <x:v>24h</x:v>
      </x:c>
      <x:c r="T122" s="32" t="str">
        <x:f>IF(I122="Inconclusive","Inconclusive",IF(AND(OR(R122="User",R122="Mixed"),J122&lt;&gt;""),IF(R122="Mixed","Mixed Reply","Verified User Reply"),"No Verified User Reply"))</x:f>
        <x:v>No Verified User Reply</x:v>
      </x:c>
      <x:c r="U122" s="32" t="str">
        <x:v>BATCH-VERIFY-24H</x:v>
      </x:c>
      <x:c r="V122" s="32" t="str">
        <x:f>D122&amp;"|"&amp;S122</x:f>
        <x:v>IC-0059|24h</x:v>
      </x:c>
      <x:c r="W122" s="32" t="str">
        <x:f>I122</x:f>
        <x:v>Visible</x:v>
      </x:c>
      <x:c r="X122" s="32" t="str">
        <x:f>R122</x:f>
        <x:v>None</x:v>
      </x:c>
      <x:c r="Y122" s="33" t="str">
        <x:f>T122</x:f>
        <x:v>No Verified User Reply</x:v>
      </x:c>
    </x:row>
    <x:row r="123">
      <x:c r="A123" s="49" t="n">
        <x:v>46226</x:v>
      </x:c>
      <x:c r="B123" s="32" t="str">
        <x:v>12:30</x:v>
      </x:c>
      <x:c r="C123" s="52" t="n">
        <x:v>46226</x:v>
      </x:c>
      <x:c r="D123" s="32" t="str">
        <x:v>IC-0060</x:v>
      </x:c>
      <x:c r="E123" s="32" t="str">
        <x:v>Account Slot 10</x:v>
      </x:c>
      <x:c r="F123" s="32" t="str">
        <x:v>https://video.invalid/case/V0060</x:v>
      </x:c>
      <x:c r="G123" s="32" t="str">
        <x:v>creator_case_060</x:v>
      </x:c>
      <x:c r="H123" s="32" t="str">
        <x:v>Pending</x:v>
      </x:c>
      <x:c r="I123" s="32" t="str">
        <x:v>Visible</x:v>
      </x:c>
      <x:c r="J123" s="32" t="str">
        <x:v>EVD-SYN-0060-30M</x:v>
      </x:c>
      <x:c r="K123" s="32" t="str">
        <x:v>30m verification</x:v>
      </x:c>
      <x:c r="L123" s="32" t="str">
        <x:v>None</x:v>
      </x:c>
      <x:c r="M123" s="32" t="str">
        <x:v>Pass</x:v>
      </x:c>
      <x:c r="N123" s="32" t="str">
        <x:v>เลเยอร์แบบนี้ทำให้ชุดดูมีมิติโดยยังสบายตาอยู่ ลองใช้ดีเทลตรงคอกับข้อมือแบบในรูปดูค่ะ น่าจะช่วยให้ทั้งลุคคอมพลีตขึ้นมาก</x:v>
      </x:c>
      <x:c r="O123" s="32" t="str">
        <x:v>เลเยอร์แบบนี้ทำให้ชุดดูมีมิติโดยยังสบายตาอยู่ ลองใช้ดีเทลตรงคอกับข้อมือแบบในรูปดูค่ะ น่าจะช่วยให้ทั้งลุคคอมพลีตขึ้นมาก</x:v>
      </x:c>
      <x:c r="P123" s="32" t="n">
        <x:v>1</x:v>
      </x:c>
      <x:c r="Q123" s="32" t="str">
        <x:v>Synthetic reply preview</x:v>
      </x:c>
      <x:c r="R123" s="32" t="str">
        <x:v>Creator</x:v>
      </x:c>
      <x:c r="S123" s="32" t="str">
        <x:v>30m</x:v>
      </x:c>
      <x:c r="T123" s="32" t="str">
        <x:f>IF(I123="Inconclusive","Inconclusive",IF(AND(OR(R123="User",R123="Mixed"),J123&lt;&gt;""),IF(R123="Mixed","Mixed Reply","Verified User Reply"),"No Verified User Reply"))</x:f>
        <x:v>No Verified User Reply</x:v>
      </x:c>
      <x:c r="U123" s="32" t="str">
        <x:v>BATCH-VERIFY-30M</x:v>
      </x:c>
      <x:c r="V123" s="32" t="str">
        <x:f>D123&amp;"|"&amp;S123</x:f>
        <x:v>IC-0060|30m</x:v>
      </x:c>
      <x:c r="W123" s="32" t="str">
        <x:f>I123</x:f>
        <x:v>Visible</x:v>
      </x:c>
      <x:c r="X123" s="32" t="str">
        <x:f>R123</x:f>
        <x:v>Creator</x:v>
      </x:c>
      <x:c r="Y123" s="33" t="str">
        <x:f>T123</x:f>
        <x:v>No Verified User Reply</x:v>
      </x:c>
    </x:row>
    <x:row r="124">
      <x:c r="A124" s="49" t="n">
        <x:v>46227</x:v>
      </x:c>
      <x:c r="B124" s="32" t="str">
        <x:v>12:00</x:v>
      </x:c>
      <x:c r="C124" s="52" t="n">
        <x:v>46226</x:v>
      </x:c>
      <x:c r="D124" s="32" t="str">
        <x:v>IC-0060</x:v>
      </x:c>
      <x:c r="E124" s="32" t="str">
        <x:v>Account Slot 10</x:v>
      </x:c>
      <x:c r="F124" s="32" t="str">
        <x:v>https://video.invalid/case/V0060</x:v>
      </x:c>
      <x:c r="G124" s="32" t="str">
        <x:v>creator_case_060</x:v>
      </x:c>
      <x:c r="H124" s="32" t="str">
        <x:v>Pending</x:v>
      </x:c>
      <x:c r="I124" s="32" t="str">
        <x:v>Visible</x:v>
      </x:c>
      <x:c r="J124" s="32" t="str">
        <x:v>EVD-SYN-0060-24H</x:v>
      </x:c>
      <x:c r="K124" s="32" t="str">
        <x:v>24h verification</x:v>
      </x:c>
      <x:c r="L124" s="32" t="str">
        <x:v>None</x:v>
      </x:c>
      <x:c r="M124" s="32" t="str">
        <x:v>Pass</x:v>
      </x:c>
      <x:c r="N124" s="32" t="str">
        <x:v>เลเยอร์แบบนี้ทำให้ชุดดูมีมิติโดยยังสบายตาอยู่ ลองใช้ดีเทลตรงคอกับข้อมือแบบในรูปดูค่ะ น่าจะช่วยให้ทั้งลุคคอมพลีตขึ้นมาก</x:v>
      </x:c>
      <x:c r="O124" s="32" t="str">
        <x:v>เลเยอร์แบบนี้ทำให้ชุดดูมีมิติโดยยังสบายตาอยู่ ลองใช้ดีเทลตรงคอกับข้อมือแบบในรูปดูค่ะ น่าจะช่วยให้ทั้งลุคคอมพลีตขึ้นมาก</x:v>
      </x:c>
      <x:c r="P124" s="32" t="n">
        <x:v>1</x:v>
      </x:c>
      <x:c r="Q124" s="32" t="str">
        <x:v>Synthetic reply preview</x:v>
      </x:c>
      <x:c r="R124" s="32" t="str">
        <x:v>Creator</x:v>
      </x:c>
      <x:c r="S124" s="32" t="str">
        <x:v>24h</x:v>
      </x:c>
      <x:c r="T124" s="32" t="str">
        <x:v>Verified User Reply</x:v>
      </x:c>
      <x:c r="U124" s="32" t="str">
        <x:v>BATCH-VERIFY-24H</x:v>
      </x:c>
      <x:c r="V124" s="32" t="str">
        <x:f>D124&amp;"|"&amp;S124</x:f>
        <x:v>IC-0060|24h</x:v>
      </x:c>
      <x:c r="W124" s="32" t="str">
        <x:f>I124</x:f>
        <x:v>Visible</x:v>
      </x:c>
      <x:c r="X124" s="32" t="str">
        <x:f>R124</x:f>
        <x:v>Creator</x:v>
      </x:c>
      <x:c r="Y124" s="33" t="str">
        <x:f>T124</x:f>
        <x:v>Verified User Reply</x:v>
      </x:c>
    </x:row>
    <x:row r="125">
      <x:c r="A125" s="49" t="n">
        <x:v>46226</x:v>
      </x:c>
      <x:c r="B125" s="32" t="str">
        <x:v>12:30</x:v>
      </x:c>
      <x:c r="C125" s="52" t="n">
        <x:v>46226</x:v>
      </x:c>
      <x:c r="D125" s="32" t="str">
        <x:v>IC-0061</x:v>
      </x:c>
      <x:c r="E125" s="32" t="str">
        <x:v>Account Slot 1</x:v>
      </x:c>
      <x:c r="F125" s="32" t="str">
        <x:v>https://video.invalid/case/V0061</x:v>
      </x:c>
      <x:c r="G125" s="32" t="str">
        <x:v>creator_case_061</x:v>
      </x:c>
      <x:c r="H125" s="32" t="str">
        <x:v>Pending</x:v>
      </x:c>
      <x:c r="I125" s="32" t="str">
        <x:v>Visible</x:v>
      </x:c>
      <x:c r="J125" s="32" t="str">
        <x:v>EVD-SYN-0061-30M</x:v>
      </x:c>
      <x:c r="K125" s="32" t="str">
        <x:v>30m verification</x:v>
      </x:c>
      <x:c r="L125" s="32" t="str">
        <x:v>None</x:v>
      </x:c>
      <x:c r="M125" s="32" t="str">
        <x:v>Pass</x:v>
      </x:c>
      <x:c r="N125" s="32" t="str">
        <x:v>ทรงคอแบบนี้ทำให้ลุคดูตั้งใจขึ้นแบบกำลังดีค่ะ พอมีตัวครอบกระดุมชิ้นเล็กแบบในรูป ช่วงคอกับข้อมือก็ดูตั้งใจขึ้นทันที</x:v>
      </x:c>
      <x:c r="O125" s="32" t="str">
        <x:v>ทรงคอแบบนี้ทำให้ลุคดูตั้งใจขึ้นแบบกำลังดีค่ะ พอมีตัวครอบกระดุมชิ้นเล็กแบบในรูป ช่วงคอกับข้อมือก็ดูตั้งใจขึ้นทันที</x:v>
      </x:c>
      <x:c r="P125" s="32" t="n">
        <x:v>0</x:v>
      </x:c>
      <x:c r="Q125" s="32" t="str"/>
      <x:c r="R125" s="32" t="str">
        <x:v>None</x:v>
      </x:c>
      <x:c r="S125" s="32" t="str">
        <x:v>30m</x:v>
      </x:c>
      <x:c r="T125" s="32" t="str">
        <x:f>IF(I125="Inconclusive","Inconclusive",IF(AND(OR(R125="User",R125="Mixed"),J125&lt;&gt;""),IF(R125="Mixed","Mixed Reply","Verified User Reply"),"No Verified User Reply"))</x:f>
        <x:v>No Verified User Reply</x:v>
      </x:c>
      <x:c r="U125" s="32" t="str">
        <x:v>BATCH-VERIFY-30M</x:v>
      </x:c>
      <x:c r="V125" s="32" t="str">
        <x:f>D125&amp;"|"&amp;S125</x:f>
        <x:v>IC-0061|30m</x:v>
      </x:c>
      <x:c r="W125" s="32" t="str">
        <x:f>I125</x:f>
        <x:v>Visible</x:v>
      </x:c>
      <x:c r="X125" s="32" t="str">
        <x:f>R125</x:f>
        <x:v>None</x:v>
      </x:c>
      <x:c r="Y125" s="33" t="str">
        <x:f>T125</x:f>
        <x:v>No Verified User Reply</x:v>
      </x:c>
    </x:row>
    <x:row r="126">
      <x:c r="A126" s="49" t="n">
        <x:v>46227</x:v>
      </x:c>
      <x:c r="B126" s="32" t="str">
        <x:v>12:00</x:v>
      </x:c>
      <x:c r="C126" s="52" t="n">
        <x:v>46226</x:v>
      </x:c>
      <x:c r="D126" s="32" t="str">
        <x:v>IC-0061</x:v>
      </x:c>
      <x:c r="E126" s="32" t="str">
        <x:v>Account Slot 1</x:v>
      </x:c>
      <x:c r="F126" s="32" t="str">
        <x:v>https://video.invalid/case/V0061</x:v>
      </x:c>
      <x:c r="G126" s="32" t="str">
        <x:v>creator_case_061</x:v>
      </x:c>
      <x:c r="H126" s="32" t="str">
        <x:v>Pending</x:v>
      </x:c>
      <x:c r="I126" s="32" t="str">
        <x:v>Missing</x:v>
      </x:c>
      <x:c r="J126" s="32" t="str">
        <x:v>EVD-SYN-0061-24H</x:v>
      </x:c>
      <x:c r="K126" s="32" t="str">
        <x:v>24h verification</x:v>
      </x:c>
      <x:c r="L126" s="32" t="str">
        <x:v>None</x:v>
      </x:c>
      <x:c r="M126" s="32" t="str">
        <x:v>Pass</x:v>
      </x:c>
      <x:c r="N126" s="32" t="str">
        <x:v>ทรงคอแบบนี้ทำให้ลุคดูตั้งใจขึ้นแบบกำลังดีค่ะ พอมีตัวครอบกระดุมชิ้นเล็กแบบในรูป ช่วงคอกับข้อมือก็ดูตั้งใจขึ้นทันที</x:v>
      </x:c>
      <x:c r="O126" s="32"/>
      <x:c r="P126" s="32" t="n">
        <x:v>0</x:v>
      </x:c>
      <x:c r="Q126" s="32" t="str"/>
      <x:c r="R126" s="32" t="str">
        <x:v>None</x:v>
      </x:c>
      <x:c r="S126" s="32" t="str">
        <x:v>24h</x:v>
      </x:c>
      <x:c r="T126" s="32" t="str">
        <x:f>IF(I126="Inconclusive","Inconclusive",IF(AND(OR(R126="User",R126="Mixed"),J126&lt;&gt;""),IF(R126="Mixed","Mixed Reply","Verified User Reply"),"No Verified User Reply"))</x:f>
        <x:v>No Verified User Reply</x:v>
      </x:c>
      <x:c r="U126" s="32" t="str">
        <x:v>BATCH-VERIFY-24H</x:v>
      </x:c>
      <x:c r="V126" s="32" t="str">
        <x:f>D126&amp;"|"&amp;S126</x:f>
        <x:v>IC-0061|24h</x:v>
      </x:c>
      <x:c r="W126" s="32" t="str">
        <x:f>I126</x:f>
        <x:v>Missing</x:v>
      </x:c>
      <x:c r="X126" s="32" t="str">
        <x:f>R126</x:f>
        <x:v>None</x:v>
      </x:c>
      <x:c r="Y126" s="33" t="str">
        <x:f>T126</x:f>
        <x:v>No Verified User Reply</x:v>
      </x:c>
    </x:row>
    <x:row r="127">
      <x:c r="A127" s="49" t="n">
        <x:v>46226</x:v>
      </x:c>
      <x:c r="B127" s="32" t="str">
        <x:v>12:30</x:v>
      </x:c>
      <x:c r="C127" s="52" t="n">
        <x:v>46226</x:v>
      </x:c>
      <x:c r="D127" s="32" t="str">
        <x:v>IC-0062</x:v>
      </x:c>
      <x:c r="E127" s="32" t="str">
        <x:v>Account Slot 2</x:v>
      </x:c>
      <x:c r="F127" s="32" t="str">
        <x:v>https://video.invalid/case/V0062</x:v>
      </x:c>
      <x:c r="G127" s="32" t="str">
        <x:v>creator_case_062</x:v>
      </x:c>
      <x:c r="H127" s="32" t="str">
        <x:v>Pending</x:v>
      </x:c>
      <x:c r="I127" s="32" t="str">
        <x:v>Visible</x:v>
      </x:c>
      <x:c r="J127" s="32" t="str">
        <x:v>EVD-SYN-0062-30M</x:v>
      </x:c>
      <x:c r="K127" s="32" t="str">
        <x:v>30m verification</x:v>
      </x:c>
      <x:c r="L127" s="32" t="str">
        <x:v>None</x:v>
      </x:c>
      <x:c r="M127" s="32" t="str">
        <x:v>Pass</x:v>
      </x:c>
      <x:c r="N127" s="32" t="str">
        <x:v>เชิ้ตตัวนี้ให้มู้ดสุภาพแต่ยังดูทันสมัยอยู่ค่ะ ถ้าเล่นลูกเล่นกระดุมดอกไม้เล็ก ๆ แบบในรูป ช่วงบนของลุคน่าจะเด่นขึ้นพอดีค่ะ</x:v>
      </x:c>
      <x:c r="O127" s="32" t="str">
        <x:v>เชิ้ตตัวนี้ให้มู้ดสุภาพแต่ยังดูทันสมัยอยู่ค่ะ ถ้าเล่นลูกเล่นกระดุมดอกไม้เล็ก ๆ แบบในรูป ช่วงบนของลุคน่าจะเด่นขึ้นพอดีค่ะ</x:v>
      </x:c>
      <x:c r="P127" s="32" t="n">
        <x:v>0</x:v>
      </x:c>
      <x:c r="Q127" s="32" t="str"/>
      <x:c r="R127" s="32" t="str">
        <x:v>None</x:v>
      </x:c>
      <x:c r="S127" s="32" t="str">
        <x:v>30m</x:v>
      </x:c>
      <x:c r="T127" s="32" t="str">
        <x:f>IF(I127="Inconclusive","Inconclusive",IF(AND(OR(R127="User",R127="Mixed"),J127&lt;&gt;""),IF(R127="Mixed","Mixed Reply","Verified User Reply"),"No Verified User Reply"))</x:f>
        <x:v>No Verified User Reply</x:v>
      </x:c>
      <x:c r="U127" s="32" t="str">
        <x:v>BATCH-VERIFY-30M</x:v>
      </x:c>
      <x:c r="V127" s="32" t="str">
        <x:f>D127&amp;"|"&amp;S127</x:f>
        <x:v>IC-0062|30m</x:v>
      </x:c>
      <x:c r="W127" s="32" t="str">
        <x:f>I127</x:f>
        <x:v>Visible</x:v>
      </x:c>
      <x:c r="X127" s="32" t="str">
        <x:f>R127</x:f>
        <x:v>None</x:v>
      </x:c>
      <x:c r="Y127" s="33" t="str">
        <x:f>T127</x:f>
        <x:v>No Verified User Reply</x:v>
      </x:c>
    </x:row>
    <x:row r="128">
      <x:c r="A128" s="49" t="n">
        <x:v>46227</x:v>
      </x:c>
      <x:c r="B128" s="32" t="str">
        <x:v>12:00</x:v>
      </x:c>
      <x:c r="C128" s="52" t="n">
        <x:v>46226</x:v>
      </x:c>
      <x:c r="D128" s="32" t="str">
        <x:v>IC-0062</x:v>
      </x:c>
      <x:c r="E128" s="32" t="str">
        <x:v>Account Slot 2</x:v>
      </x:c>
      <x:c r="F128" s="32" t="str">
        <x:v>https://video.invalid/case/V0062</x:v>
      </x:c>
      <x:c r="G128" s="32" t="str">
        <x:v>creator_case_062</x:v>
      </x:c>
      <x:c r="H128" s="32" t="str">
        <x:v>Pending</x:v>
      </x:c>
      <x:c r="I128" s="32" t="str">
        <x:v>Visible</x:v>
      </x:c>
      <x:c r="J128" s="32" t="str">
        <x:v>EVD-SYN-0062-24H</x:v>
      </x:c>
      <x:c r="K128" s="32" t="str">
        <x:v>24h verification</x:v>
      </x:c>
      <x:c r="L128" s="32" t="str">
        <x:v>None</x:v>
      </x:c>
      <x:c r="M128" s="32" t="str">
        <x:v>Pass</x:v>
      </x:c>
      <x:c r="N128" s="32" t="str">
        <x:v>เชิ้ตตัวนี้ให้มู้ดสุภาพแต่ยังดูทันสมัยอยู่ค่ะ ถ้าเล่นลูกเล่นกระดุมดอกไม้เล็ก ๆ แบบในรูป ช่วงบนของลุคน่าจะเด่นขึ้นพอดีค่ะ</x:v>
      </x:c>
      <x:c r="O128" s="32" t="str">
        <x:v>เชิ้ตตัวนี้ให้มู้ดสุภาพแต่ยังดูทันสมัยอยู่ค่ะ ถ้าเล่นลูกเล่นกระดุมดอกไม้เล็ก ๆ แบบในรูป ช่วงบนของลุคน่าจะเด่นขึ้นพอดีค่ะ</x:v>
      </x:c>
      <x:c r="P128" s="32" t="n">
        <x:v>0</x:v>
      </x:c>
      <x:c r="Q128" s="32" t="str"/>
      <x:c r="R128" s="32" t="str">
        <x:v>None</x:v>
      </x:c>
      <x:c r="S128" s="32" t="str">
        <x:v>24h</x:v>
      </x:c>
      <x:c r="T128" s="32" t="str">
        <x:f>IF(I128="Inconclusive","Inconclusive",IF(AND(OR(R128="User",R128="Mixed"),J128&lt;&gt;""),IF(R128="Mixed","Mixed Reply","Verified User Reply"),"No Verified User Reply"))</x:f>
        <x:v>No Verified User Reply</x:v>
      </x:c>
      <x:c r="U128" s="32" t="str">
        <x:v>BATCH-VERIFY-24H</x:v>
      </x:c>
      <x:c r="V128" s="32" t="str">
        <x:f>D128&amp;"|"&amp;S128</x:f>
        <x:v>IC-0062|24h</x:v>
      </x:c>
      <x:c r="W128" s="32" t="str">
        <x:f>I128</x:f>
        <x:v>Visible</x:v>
      </x:c>
      <x:c r="X128" s="32" t="str">
        <x:f>R128</x:f>
        <x:v>None</x:v>
      </x:c>
      <x:c r="Y128" s="33" t="str">
        <x:f>T128</x:f>
        <x:v>No Verified User Reply</x:v>
      </x:c>
    </x:row>
    <x:row r="129">
      <x:c r="A129" s="49" t="n">
        <x:v>46226</x:v>
      </x:c>
      <x:c r="B129" s="32" t="str">
        <x:v>12:30</x:v>
      </x:c>
      <x:c r="C129" s="52" t="n">
        <x:v>46226</x:v>
      </x:c>
      <x:c r="D129" s="32" t="str">
        <x:v>IC-0063</x:v>
      </x:c>
      <x:c r="E129" s="32" t="str">
        <x:v>Account Slot 3</x:v>
      </x:c>
      <x:c r="F129" s="32" t="str">
        <x:v>https://video.invalid/case/V0063</x:v>
      </x:c>
      <x:c r="G129" s="32" t="str">
        <x:v>creator_case_063</x:v>
      </x:c>
      <x:c r="H129" s="32" t="str">
        <x:v>Pending</x:v>
      </x:c>
      <x:c r="I129" s="32" t="str">
        <x:v>Visible</x:v>
      </x:c>
      <x:c r="J129" s="32" t="str">
        <x:v>EVD-SYN-0063-30M</x:v>
      </x:c>
      <x:c r="K129" s="32" t="str">
        <x:v>30m verification</x:v>
      </x:c>
      <x:c r="L129" s="32" t="str">
        <x:v>None</x:v>
      </x:c>
      <x:c r="M129" s="32" t="str">
        <x:v>Pass</x:v>
      </x:c>
      <x:c r="N129" s="32" t="str">
        <x:v>ลุคทำงานนี้ดูสุภาพและใช้งานจริงได้มากค่ะ พอมีตัวครอบกระดุมชิ้นเล็กแบบในรูป ช่วงคอกับข้อมือก็ดูตั้งใจขึ้นทันที</x:v>
      </x:c>
      <x:c r="O129" s="32" t="str">
        <x:v>ลุคทำงานนี้ดูสุภาพและใช้งานจริงได้มากค่ะ พอมีตัวครอบกระดุมชิ้นเล็กแบบในรูป ช่วงคอกับข้อมือก็ดูตั้งใจขึ้นทันที</x:v>
      </x:c>
      <x:c r="P129" s="32" t="n">
        <x:v>0</x:v>
      </x:c>
      <x:c r="Q129" s="32" t="str"/>
      <x:c r="R129" s="32" t="str">
        <x:v>None</x:v>
      </x:c>
      <x:c r="S129" s="32" t="str">
        <x:v>30m</x:v>
      </x:c>
      <x:c r="T129" s="32" t="str">
        <x:f>IF(I129="Inconclusive","Inconclusive",IF(AND(OR(R129="User",R129="Mixed"),J129&lt;&gt;""),IF(R129="Mixed","Mixed Reply","Verified User Reply"),"No Verified User Reply"))</x:f>
        <x:v>No Verified User Reply</x:v>
      </x:c>
      <x:c r="U129" s="32" t="str">
        <x:v>BATCH-VERIFY-30M</x:v>
      </x:c>
      <x:c r="V129" s="32" t="str">
        <x:f>D129&amp;"|"&amp;S129</x:f>
        <x:v>IC-0063|30m</x:v>
      </x:c>
      <x:c r="W129" s="32" t="str">
        <x:f>I129</x:f>
        <x:v>Visible</x:v>
      </x:c>
      <x:c r="X129" s="32" t="str">
        <x:f>R129</x:f>
        <x:v>None</x:v>
      </x:c>
      <x:c r="Y129" s="33" t="str">
        <x:f>T129</x:f>
        <x:v>No Verified User Reply</x:v>
      </x:c>
    </x:row>
    <x:row r="130">
      <x:c r="A130" s="49" t="n">
        <x:v>46227</x:v>
      </x:c>
      <x:c r="B130" s="32" t="str">
        <x:v>12:00</x:v>
      </x:c>
      <x:c r="C130" s="52" t="n">
        <x:v>46226</x:v>
      </x:c>
      <x:c r="D130" s="32" t="str">
        <x:v>IC-0063</x:v>
      </x:c>
      <x:c r="E130" s="32" t="str">
        <x:v>Account Slot 3</x:v>
      </x:c>
      <x:c r="F130" s="32" t="str">
        <x:v>https://video.invalid/case/V0063</x:v>
      </x:c>
      <x:c r="G130" s="32" t="str">
        <x:v>creator_case_063</x:v>
      </x:c>
      <x:c r="H130" s="32" t="str">
        <x:v>Pending</x:v>
      </x:c>
      <x:c r="I130" s="32" t="str">
        <x:v>Visible</x:v>
      </x:c>
      <x:c r="J130" s="32" t="str">
        <x:v>EVD-SYN-0063-24H</x:v>
      </x:c>
      <x:c r="K130" s="32" t="str">
        <x:v>24h verification</x:v>
      </x:c>
      <x:c r="L130" s="32" t="str">
        <x:v>None</x:v>
      </x:c>
      <x:c r="M130" s="32" t="str">
        <x:v>Pass</x:v>
      </x:c>
      <x:c r="N130" s="32" t="str">
        <x:v>ลุคทำงานนี้ดูสุภาพและใช้งานจริงได้มากค่ะ พอมีตัวครอบกระดุมชิ้นเล็กแบบในรูป ช่วงคอกับข้อมือก็ดูตั้งใจขึ้นทันที</x:v>
      </x:c>
      <x:c r="O130" s="32" t="str">
        <x:v>ลุคทำงานนี้ดูสุภาพและใช้งานจริงได้มากค่ะ พอมีตัวครอบกระดุมชิ้นเล็กแบบในรูป ช่วงคอกับข้อมือก็ดูตั้งใจขึ้นทันที</x:v>
      </x:c>
      <x:c r="P130" s="32" t="n">
        <x:v>0</x:v>
      </x:c>
      <x:c r="Q130" s="32" t="str"/>
      <x:c r="R130" s="32" t="str">
        <x:v>None</x:v>
      </x:c>
      <x:c r="S130" s="32" t="str">
        <x:v>24h</x:v>
      </x:c>
      <x:c r="T130" s="32" t="str">
        <x:f>IF(I130="Inconclusive","Inconclusive",IF(AND(OR(R130="User",R130="Mixed"),J130&lt;&gt;""),IF(R130="Mixed","Mixed Reply","Verified User Reply"),"No Verified User Reply"))</x:f>
        <x:v>No Verified User Reply</x:v>
      </x:c>
      <x:c r="U130" s="32" t="str">
        <x:v>BATCH-VERIFY-24H</x:v>
      </x:c>
      <x:c r="V130" s="32" t="str">
        <x:f>D130&amp;"|"&amp;S130</x:f>
        <x:v>IC-0063|24h</x:v>
      </x:c>
      <x:c r="W130" s="32" t="str">
        <x:f>I130</x:f>
        <x:v>Visible</x:v>
      </x:c>
      <x:c r="X130" s="32" t="str">
        <x:f>R130</x:f>
        <x:v>None</x:v>
      </x:c>
      <x:c r="Y130" s="33" t="str">
        <x:f>T130</x:f>
        <x:v>No Verified User Reply</x:v>
      </x:c>
    </x:row>
    <x:row r="131">
      <x:c r="A131" s="49" t="n">
        <x:v>46226</x:v>
      </x:c>
      <x:c r="B131" s="32" t="str">
        <x:v>12:30</x:v>
      </x:c>
      <x:c r="C131" s="52" t="n">
        <x:v>46226</x:v>
      </x:c>
      <x:c r="D131" s="32" t="str">
        <x:v>IC-0064</x:v>
      </x:c>
      <x:c r="E131" s="32" t="str">
        <x:v>Account Slot 4</x:v>
      </x:c>
      <x:c r="F131" s="32" t="str">
        <x:v>https://video.invalid/case/V0064</x:v>
      </x:c>
      <x:c r="G131" s="32" t="str">
        <x:v>creator_case_064</x:v>
      </x:c>
      <x:c r="H131" s="32" t="str">
        <x:v>Pending</x:v>
      </x:c>
      <x:c r="I131" s="32" t="str">
        <x:v>Missing</x:v>
      </x:c>
      <x:c r="J131" s="32" t="str">
        <x:v>EVD-SYN-0064-30M</x:v>
      </x:c>
      <x:c r="K131" s="32" t="str">
        <x:v>30m verification</x:v>
      </x:c>
      <x:c r="L131" s="32" t="str">
        <x:v>None</x:v>
      </x:c>
      <x:c r="M131" s="32" t="str">
        <x:v>Pass</x:v>
      </x:c>
      <x:c r="N131" s="32" t="str">
        <x:v>ชุดนี้แต่งตามง่ายและเหมาะกับหลายโอกาสจริงค่ะ เสื้อทรงนี้ถ้าเพิ่มตัวครอบกระดุมสีอ่อนแบบในรูป น่าจะดูหวานขึ้นโดยไม่หลุดโทนค่ะ</x:v>
      </x:c>
      <x:c r="O131" s="32"/>
      <x:c r="P131" s="32" t="n">
        <x:v>0</x:v>
      </x:c>
      <x:c r="Q131" s="32" t="str"/>
      <x:c r="R131" s="32" t="str">
        <x:v>None</x:v>
      </x:c>
      <x:c r="S131" s="32" t="str">
        <x:v>30m</x:v>
      </x:c>
      <x:c r="T131" s="32" t="str">
        <x:f>IF(I131="Inconclusive","Inconclusive",IF(AND(OR(R131="User",R131="Mixed"),J131&lt;&gt;""),IF(R131="Mixed","Mixed Reply","Verified User Reply"),"No Verified User Reply"))</x:f>
        <x:v>No Verified User Reply</x:v>
      </x:c>
      <x:c r="U131" s="32" t="str">
        <x:v>BATCH-VERIFY-30M</x:v>
      </x:c>
      <x:c r="V131" s="32" t="str">
        <x:f>D131&amp;"|"&amp;S131</x:f>
        <x:v>IC-0064|30m</x:v>
      </x:c>
      <x:c r="W131" s="32" t="str">
        <x:f>I131</x:f>
        <x:v>Missing</x:v>
      </x:c>
      <x:c r="X131" s="32" t="str">
        <x:f>R131</x:f>
        <x:v>None</x:v>
      </x:c>
      <x:c r="Y131" s="33" t="str">
        <x:f>T131</x:f>
        <x:v>No Verified User Reply</x:v>
      </x:c>
    </x:row>
    <x:row r="132">
      <x:c r="A132" s="49" t="n">
        <x:v>46227</x:v>
      </x:c>
      <x:c r="B132" s="32" t="str">
        <x:v>12:00</x:v>
      </x:c>
      <x:c r="C132" s="52" t="n">
        <x:v>46226</x:v>
      </x:c>
      <x:c r="D132" s="32" t="str">
        <x:v>IC-0064</x:v>
      </x:c>
      <x:c r="E132" s="32" t="str">
        <x:v>Account Slot 4</x:v>
      </x:c>
      <x:c r="F132" s="32" t="str">
        <x:v>https://video.invalid/case/V0064</x:v>
      </x:c>
      <x:c r="G132" s="32" t="str">
        <x:v>creator_case_064</x:v>
      </x:c>
      <x:c r="H132" s="32" t="str">
        <x:v>Pending</x:v>
      </x:c>
      <x:c r="I132" s="32" t="str">
        <x:v>Visible</x:v>
      </x:c>
      <x:c r="J132" s="32" t="str">
        <x:v>EVD-SYN-0064-24H</x:v>
      </x:c>
      <x:c r="K132" s="32" t="str">
        <x:v>24h verification</x:v>
      </x:c>
      <x:c r="L132" s="32" t="str">
        <x:v>None</x:v>
      </x:c>
      <x:c r="M132" s="32" t="str">
        <x:v>Pass</x:v>
      </x:c>
      <x:c r="N132" s="32" t="str">
        <x:v>ชุดนี้แต่งตามง่ายและเหมาะกับหลายโอกาสจริงค่ะ เสื้อทรงนี้ถ้าเพิ่มตัวครอบกระดุมสีอ่อนแบบในรูป น่าจะดูหวานขึ้นโดยไม่หลุดโทนค่ะ</x:v>
      </x:c>
      <x:c r="O132" s="32" t="str">
        <x:v>ชุดนี้แต่งตามง่ายและเหมาะกับหลายโอกาสจริงค่ะ เสื้อทรงนี้ถ้าเพิ่มตัวครอบกระดุมสีอ่อนแบบในรูป น่าจะดูหวานขึ้นโดยไม่หลุดโทนค่ะ</x:v>
      </x:c>
      <x:c r="P132" s="32" t="n">
        <x:v>1</x:v>
      </x:c>
      <x:c r="Q132" s="32" t="str">
        <x:v>Synthetic reply preview</x:v>
      </x:c>
      <x:c r="R132" s="32" t="str">
        <x:v>User</x:v>
      </x:c>
      <x:c r="S132" s="32" t="str">
        <x:v>24h</x:v>
      </x:c>
      <x:c r="T132" s="32" t="str">
        <x:f>IF(I132="Inconclusive","Inconclusive",IF(AND(OR(R132="User",R132="Mixed"),J132&lt;&gt;""),IF(R132="Mixed","Mixed Reply","Verified User Reply"),"No Verified User Reply"))</x:f>
        <x:v>Verified User Reply</x:v>
      </x:c>
      <x:c r="U132" s="32" t="str">
        <x:v>BATCH-VERIFY-24H</x:v>
      </x:c>
      <x:c r="V132" s="32" t="str">
        <x:f>D132&amp;"|"&amp;S132</x:f>
        <x:v>IC-0064|24h</x:v>
      </x:c>
      <x:c r="W132" s="32" t="str">
        <x:f>I132</x:f>
        <x:v>Visible</x:v>
      </x:c>
      <x:c r="X132" s="32" t="str">
        <x:f>R132</x:f>
        <x:v>User</x:v>
      </x:c>
      <x:c r="Y132" s="33" t="str">
        <x:f>T132</x:f>
        <x:v>Verified User Reply</x:v>
      </x:c>
    </x:row>
    <x:row r="133">
      <x:c r="A133" s="49" t="n">
        <x:v>46226</x:v>
      </x:c>
      <x:c r="B133" s="32" t="str">
        <x:v>12:30</x:v>
      </x:c>
      <x:c r="C133" s="52" t="n">
        <x:v>46226</x:v>
      </x:c>
      <x:c r="D133" s="32" t="str">
        <x:v>IC-0065</x:v>
      </x:c>
      <x:c r="E133" s="32" t="str">
        <x:v>Account Slot 5</x:v>
      </x:c>
      <x:c r="F133" s="32" t="str">
        <x:v>https://video.invalid/case/V0065</x:v>
      </x:c>
      <x:c r="G133" s="32" t="str">
        <x:v>creator_case_065</x:v>
      </x:c>
      <x:c r="H133" s="32" t="str">
        <x:v>Pending</x:v>
      </x:c>
      <x:c r="I133" s="32" t="str">
        <x:v>Visible</x:v>
      </x:c>
      <x:c r="J133" s="32" t="str">
        <x:v>EVD-SYN-0065-30M</x:v>
      </x:c>
      <x:c r="K133" s="32" t="str">
        <x:v>30m verification</x:v>
      </x:c>
      <x:c r="L133" s="32" t="str">
        <x:v>None</x:v>
      </x:c>
      <x:c r="M133" s="32" t="str">
        <x:v>Pass</x:v>
      </x:c>
      <x:c r="N133" s="32" t="str">
        <x:v>OOTD นี้คุมความเรียบกับความเก๋ได้พอดีเลย จุดเล็ก ๆ โทนชมพูแบบในรูปทำให้เสื้อขาวดูละมุนและแต่งสนุกขึ้นมาก</x:v>
      </x:c>
      <x:c r="O133" s="32" t="str">
        <x:v>OOTD นี้คุมความเรียบกับความเก๋ได้พอดีเลย จุดเล็ก ๆ โทนชมพูแบบในรูปทำให้เสื้อขาวดูละมุนและแต่งสนุกขึ้นมาก</x:v>
      </x:c>
      <x:c r="P133" s="32" t="n">
        <x:v>0</x:v>
      </x:c>
      <x:c r="Q133" s="32" t="str"/>
      <x:c r="R133" s="32" t="str">
        <x:v>None</x:v>
      </x:c>
      <x:c r="S133" s="32" t="str">
        <x:v>30m</x:v>
      </x:c>
      <x:c r="T133" s="32" t="str">
        <x:f>IF(I133="Inconclusive","Inconclusive",IF(AND(OR(R133="User",R133="Mixed"),J133&lt;&gt;""),IF(R133="Mixed","Mixed Reply","Verified User Reply"),"No Verified User Reply"))</x:f>
        <x:v>No Verified User Reply</x:v>
      </x:c>
      <x:c r="U133" s="32" t="str">
        <x:v>BATCH-VERIFY-30M</x:v>
      </x:c>
      <x:c r="V133" s="32" t="str">
        <x:f>D133&amp;"|"&amp;S133</x:f>
        <x:v>IC-0065|30m</x:v>
      </x:c>
      <x:c r="W133" s="32" t="str">
        <x:f>I133</x:f>
        <x:v>Visible</x:v>
      </x:c>
      <x:c r="X133" s="32" t="str">
        <x:f>R133</x:f>
        <x:v>None</x:v>
      </x:c>
      <x:c r="Y133" s="33" t="str">
        <x:f>T133</x:f>
        <x:v>No Verified User Reply</x:v>
      </x:c>
    </x:row>
    <x:row r="134">
      <x:c r="A134" s="49" t="n">
        <x:v>46227</x:v>
      </x:c>
      <x:c r="B134" s="32" t="str">
        <x:v>12:00</x:v>
      </x:c>
      <x:c r="C134" s="52" t="n">
        <x:v>46226</x:v>
      </x:c>
      <x:c r="D134" s="32" t="str">
        <x:v>IC-0065</x:v>
      </x:c>
      <x:c r="E134" s="32" t="str">
        <x:v>Account Slot 5</x:v>
      </x:c>
      <x:c r="F134" s="32" t="str">
        <x:v>https://video.invalid/case/V0065</x:v>
      </x:c>
      <x:c r="G134" s="32" t="str">
        <x:v>creator_case_065</x:v>
      </x:c>
      <x:c r="H134" s="32" t="str">
        <x:v>Pending</x:v>
      </x:c>
      <x:c r="I134" s="32" t="str">
        <x:v>Visible</x:v>
      </x:c>
      <x:c r="J134" s="32" t="str">
        <x:v>EVD-SYN-0065-24H</x:v>
      </x:c>
      <x:c r="K134" s="32" t="str">
        <x:v>24h verification</x:v>
      </x:c>
      <x:c r="L134" s="32" t="str">
        <x:v>None</x:v>
      </x:c>
      <x:c r="M134" s="32" t="str">
        <x:v>Pass</x:v>
      </x:c>
      <x:c r="N134" s="32" t="str">
        <x:v>OOTD นี้คุมความเรียบกับความเก๋ได้พอดีเลย จุดเล็ก ๆ โทนชมพูแบบในรูปทำให้เสื้อขาวดูละมุนและแต่งสนุกขึ้นมาก</x:v>
      </x:c>
      <x:c r="O134" s="32" t="str">
        <x:v>OOTD นี้คุมความเรียบกับความเก๋ได้พอดีเลย จุดเล็ก ๆ โทนชมพูแบบในรูปทำให้เสื้อขาวดูละมุนและแต่งสนุกขึ้นมาก</x:v>
      </x:c>
      <x:c r="P134" s="32" t="n">
        <x:v>0</x:v>
      </x:c>
      <x:c r="Q134" s="32" t="str"/>
      <x:c r="R134" s="32" t="str">
        <x:v>None</x:v>
      </x:c>
      <x:c r="S134" s="32" t="str">
        <x:v>24h</x:v>
      </x:c>
      <x:c r="T134" s="32" t="str">
        <x:f>IF(I134="Inconclusive","Inconclusive",IF(AND(OR(R134="User",R134="Mixed"),J134&lt;&gt;""),IF(R134="Mixed","Mixed Reply","Verified User Reply"),"No Verified User Reply"))</x:f>
        <x:v>No Verified User Reply</x:v>
      </x:c>
      <x:c r="U134" s="32" t="str">
        <x:v>BATCH-VERIFY-24H</x:v>
      </x:c>
      <x:c r="V134" s="32" t="str">
        <x:f>D134&amp;"|"&amp;S134</x:f>
        <x:v>IC-0065|24h</x:v>
      </x:c>
      <x:c r="W134" s="32" t="str">
        <x:f>I134</x:f>
        <x:v>Visible</x:v>
      </x:c>
      <x:c r="X134" s="32" t="str">
        <x:f>R134</x:f>
        <x:v>None</x:v>
      </x:c>
      <x:c r="Y134" s="33" t="str">
        <x:f>T134</x:f>
        <x:v>No Verified User Reply</x:v>
      </x:c>
    </x:row>
    <x:row r="135">
      <x:c r="A135" s="49" t="n">
        <x:v>46226</x:v>
      </x:c>
      <x:c r="B135" s="32" t="str">
        <x:v>12:30</x:v>
      </x:c>
      <x:c r="C135" s="52" t="n">
        <x:v>46226</x:v>
      </x:c>
      <x:c r="D135" s="32" t="str">
        <x:v>IC-0066</x:v>
      </x:c>
      <x:c r="E135" s="32" t="str">
        <x:v>Account Slot 6</x:v>
      </x:c>
      <x:c r="F135" s="32" t="str">
        <x:v>https://video.invalid/case/V0066</x:v>
      </x:c>
      <x:c r="G135" s="32" t="str">
        <x:v>creator_case_066</x:v>
      </x:c>
      <x:c r="H135" s="32" t="str">
        <x:v>Pending</x:v>
      </x:c>
      <x:c r="I135" s="32" t="str">
        <x:v>Visible</x:v>
      </x:c>
      <x:c r="J135" s="32" t="str">
        <x:v>EVD-SYN-0066-30M</x:v>
      </x:c>
      <x:c r="K135" s="32" t="str">
        <x:v>30m verification</x:v>
      </x:c>
      <x:c r="L135" s="32" t="str">
        <x:v>None</x:v>
      </x:c>
      <x:c r="M135" s="32" t="str">
        <x:v>Pass</x:v>
      </x:c>
      <x:c r="N135" s="32" t="str">
        <x:v>เลเยอร์แบบนี้ทำให้ชุดดูมีมิติโดยยังสบายตาอยู่ ลองจับคู่ชุดนี้กับดีเทลกระดุมโทนชมพูแบบในรูปค่ะ ยังคลีนแต่ดูมีอะไรมากขึ้น</x:v>
      </x:c>
      <x:c r="O135" s="32" t="str">
        <x:v>เลเยอร์แบบนี้ทำให้ชุดดูมีมิติโดยยังสบายตาอยู่ ลองจับคู่ชุดนี้กับดีเทลกระดุมโทนชมพูแบบในรูปค่ะ ยังคลีนแต่ดูมีอะไรมากขึ้น</x:v>
      </x:c>
      <x:c r="P135" s="32" t="n">
        <x:v>2</x:v>
      </x:c>
      <x:c r="Q135" s="32" t="str">
        <x:v>Synthetic reply preview</x:v>
      </x:c>
      <x:c r="R135" s="32" t="str">
        <x:v>Mixed</x:v>
      </x:c>
      <x:c r="S135" s="32" t="str">
        <x:v>30m</x:v>
      </x:c>
      <x:c r="T135" s="32" t="str">
        <x:f>IF(I135="Inconclusive","Inconclusive",IF(AND(OR(R135="User",R135="Mixed"),J135&lt;&gt;""),IF(R135="Mixed","Mixed Reply","Verified User Reply"),"No Verified User Reply"))</x:f>
        <x:v>Mixed Reply</x:v>
      </x:c>
      <x:c r="U135" s="32" t="str">
        <x:v>BATCH-VERIFY-30M</x:v>
      </x:c>
      <x:c r="V135" s="32" t="str">
        <x:f>D135&amp;"|"&amp;S135</x:f>
        <x:v>IC-0066|30m</x:v>
      </x:c>
      <x:c r="W135" s="32" t="str">
        <x:f>I135</x:f>
        <x:v>Visible</x:v>
      </x:c>
      <x:c r="X135" s="32" t="str">
        <x:f>R135</x:f>
        <x:v>Mixed</x:v>
      </x:c>
      <x:c r="Y135" s="33" t="str">
        <x:f>T135</x:f>
        <x:v>Mixed Reply</x:v>
      </x:c>
    </x:row>
    <x:row r="136">
      <x:c r="A136" s="49" t="n">
        <x:v>46227</x:v>
      </x:c>
      <x:c r="B136" s="32" t="str">
        <x:v>12:00</x:v>
      </x:c>
      <x:c r="C136" s="52" t="n">
        <x:v>46226</x:v>
      </x:c>
      <x:c r="D136" s="32" t="str">
        <x:v>IC-0066</x:v>
      </x:c>
      <x:c r="E136" s="32" t="str">
        <x:v>Account Slot 6</x:v>
      </x:c>
      <x:c r="F136" s="32" t="str">
        <x:v>https://video.invalid/case/V0066</x:v>
      </x:c>
      <x:c r="G136" s="32" t="str">
        <x:v>creator_case_066</x:v>
      </x:c>
      <x:c r="H136" s="32" t="str">
        <x:v>Pending</x:v>
      </x:c>
      <x:c r="I136" s="32" t="str">
        <x:v>Missing</x:v>
      </x:c>
      <x:c r="J136" s="32" t="str">
        <x:v>EVD-SYN-0066-24H</x:v>
      </x:c>
      <x:c r="K136" s="32" t="str">
        <x:v>24h verification</x:v>
      </x:c>
      <x:c r="L136" s="32" t="str">
        <x:v>None</x:v>
      </x:c>
      <x:c r="M136" s="32" t="str">
        <x:v>Pass</x:v>
      </x:c>
      <x:c r="N136" s="32" t="str">
        <x:v>เลเยอร์แบบนี้ทำให้ชุดดูมีมิติโดยยังสบายตาอยู่ ลองจับคู่ชุดนี้กับดีเทลกระดุมโทนชมพูแบบในรูปค่ะ ยังคลีนแต่ดูมีอะไรมากขึ้น</x:v>
      </x:c>
      <x:c r="O136" s="32"/>
      <x:c r="P136" s="32" t="n">
        <x:v>0</x:v>
      </x:c>
      <x:c r="Q136" s="32" t="str"/>
      <x:c r="R136" s="32" t="str">
        <x:v>None</x:v>
      </x:c>
      <x:c r="S136" s="32" t="str">
        <x:v>24h</x:v>
      </x:c>
      <x:c r="T136" s="32" t="str">
        <x:f>IF(I136="Inconclusive","Inconclusive",IF(AND(OR(R136="User",R136="Mixed"),J136&lt;&gt;""),IF(R136="Mixed","Mixed Reply","Verified User Reply"),"No Verified User Reply"))</x:f>
        <x:v>No Verified User Reply</x:v>
      </x:c>
      <x:c r="U136" s="32" t="str">
        <x:v>BATCH-VERIFY-24H</x:v>
      </x:c>
      <x:c r="V136" s="32" t="str">
        <x:f>D136&amp;"|"&amp;S136</x:f>
        <x:v>IC-0066|24h</x:v>
      </x:c>
      <x:c r="W136" s="32" t="str">
        <x:f>I136</x:f>
        <x:v>Missing</x:v>
      </x:c>
      <x:c r="X136" s="32" t="str">
        <x:f>R136</x:f>
        <x:v>None</x:v>
      </x:c>
      <x:c r="Y136" s="33" t="str">
        <x:f>T136</x:f>
        <x:v>No Verified User Reply</x:v>
      </x:c>
    </x:row>
    <x:row r="137">
      <x:c r="A137" s="49" t="n">
        <x:v>46226</x:v>
      </x:c>
      <x:c r="B137" s="32" t="str">
        <x:v>12:30</x:v>
      </x:c>
      <x:c r="C137" s="52" t="n">
        <x:v>46226</x:v>
      </x:c>
      <x:c r="D137" s="32" t="str">
        <x:v>IC-0067</x:v>
      </x:c>
      <x:c r="E137" s="32" t="str">
        <x:v>Account Slot 7</x:v>
      </x:c>
      <x:c r="F137" s="32" t="str">
        <x:v>https://video.invalid/case/V0067</x:v>
      </x:c>
      <x:c r="G137" s="32" t="str">
        <x:v>creator_case_067</x:v>
      </x:c>
      <x:c r="H137" s="32" t="str">
        <x:v>Pending</x:v>
      </x:c>
      <x:c r="I137" s="32" t="str">
        <x:v>Visible</x:v>
      </x:c>
      <x:c r="J137" s="32" t="str">
        <x:v>EVD-SYN-0067-30M</x:v>
      </x:c>
      <x:c r="K137" s="32" t="str">
        <x:v>30m verification</x:v>
      </x:c>
      <x:c r="L137" s="32" t="str">
        <x:v>None</x:v>
      </x:c>
      <x:c r="M137" s="32" t="str">
        <x:v>Pass</x:v>
      </x:c>
      <x:c r="N137" s="32" t="str">
        <x:v>OOTD นี้คุมความเรียบกับความเก๋ได้พอดีเลย ตัวครอบกระดุมโทนมุกแบบในรูปเข้ากับลุคคลีนและไม่ทำให้ชุดดูแน่นเกินไป</x:v>
      </x:c>
      <x:c r="O137" s="32" t="str">
        <x:v>OOTD นี้คุมความเรียบกับความเก๋ได้พอดีเลย ตัวครอบกระดุมโทนมุกแบบในรูปเข้ากับลุคคลีนและไม่ทำให้ชุดดูแน่นเกินไป</x:v>
      </x:c>
      <x:c r="P137" s="32" t="n">
        <x:v>1</x:v>
      </x:c>
      <x:c r="Q137" s="32" t="str">
        <x:v>Synthetic reply preview</x:v>
      </x:c>
      <x:c r="R137" s="32" t="str">
        <x:v>Creator</x:v>
      </x:c>
      <x:c r="S137" s="32" t="str">
        <x:v>30m</x:v>
      </x:c>
      <x:c r="T137" s="32" t="str">
        <x:f>IF(I137="Inconclusive","Inconclusive",IF(AND(OR(R137="User",R137="Mixed"),J137&lt;&gt;""),IF(R137="Mixed","Mixed Reply","Verified User Reply"),"No Verified User Reply"))</x:f>
        <x:v>No Verified User Reply</x:v>
      </x:c>
      <x:c r="U137" s="32" t="str">
        <x:v>BATCH-VERIFY-30M</x:v>
      </x:c>
      <x:c r="V137" s="32" t="str">
        <x:f>D137&amp;"|"&amp;S137</x:f>
        <x:v>IC-0067|30m</x:v>
      </x:c>
      <x:c r="W137" s="32" t="str">
        <x:f>I137</x:f>
        <x:v>Visible</x:v>
      </x:c>
      <x:c r="X137" s="32" t="str">
        <x:f>R137</x:f>
        <x:v>Creator</x:v>
      </x:c>
      <x:c r="Y137" s="33" t="str">
        <x:f>T137</x:f>
        <x:v>No Verified User Reply</x:v>
      </x:c>
    </x:row>
    <x:row r="138">
      <x:c r="A138" s="49" t="n">
        <x:v>46227</x:v>
      </x:c>
      <x:c r="B138" s="32" t="str">
        <x:v>12:00</x:v>
      </x:c>
      <x:c r="C138" s="52" t="n">
        <x:v>46226</x:v>
      </x:c>
      <x:c r="D138" s="32" t="str">
        <x:v>IC-0067</x:v>
      </x:c>
      <x:c r="E138" s="32" t="str">
        <x:v>Account Slot 7</x:v>
      </x:c>
      <x:c r="F138" s="32" t="str">
        <x:v>https://video.invalid/case/V0067</x:v>
      </x:c>
      <x:c r="G138" s="32" t="str">
        <x:v>creator_case_067</x:v>
      </x:c>
      <x:c r="H138" s="32" t="str">
        <x:v>Pending</x:v>
      </x:c>
      <x:c r="I138" s="32" t="str">
        <x:v>Visible</x:v>
      </x:c>
      <x:c r="J138" s="32" t="str">
        <x:v>EVD-SYN-0067-24H</x:v>
      </x:c>
      <x:c r="K138" s="32" t="str">
        <x:v>24h verification</x:v>
      </x:c>
      <x:c r="L138" s="32" t="str">
        <x:v>None</x:v>
      </x:c>
      <x:c r="M138" s="32" t="str">
        <x:v>Pass</x:v>
      </x:c>
      <x:c r="N138" s="32" t="str">
        <x:v>OOTD นี้คุมความเรียบกับความเก๋ได้พอดีเลย ตัวครอบกระดุมโทนมุกแบบในรูปเข้ากับลุคคลีนและไม่ทำให้ชุดดูแน่นเกินไป</x:v>
      </x:c>
      <x:c r="O138" s="32" t="str">
        <x:v>OOTD นี้คุมความเรียบกับความเก๋ได้พอดีเลย ตัวครอบกระดุมโทนมุกแบบในรูปเข้ากับลุคคลีนและไม่ทำให้ชุดดูแน่นเกินไป</x:v>
      </x:c>
      <x:c r="P138" s="32" t="n">
        <x:v>1</x:v>
      </x:c>
      <x:c r="Q138" s="32" t="str">
        <x:v>Synthetic reply preview</x:v>
      </x:c>
      <x:c r="R138" s="32" t="str">
        <x:v>Creator</x:v>
      </x:c>
      <x:c r="S138" s="32" t="str">
        <x:v>24h</x:v>
      </x:c>
      <x:c r="T138" s="32" t="str">
        <x:f>IF(I138="Inconclusive","Inconclusive",IF(AND(OR(R138="User",R138="Mixed"),J138&lt;&gt;""),IF(R138="Mixed","Mixed Reply","Verified User Reply"),"No Verified User Reply"))</x:f>
        <x:v>No Verified User Reply</x:v>
      </x:c>
      <x:c r="U138" s="32" t="str">
        <x:v>BATCH-VERIFY-24H</x:v>
      </x:c>
      <x:c r="V138" s="32" t="str">
        <x:f>D138&amp;"|"&amp;S138</x:f>
        <x:v>IC-0067|24h</x:v>
      </x:c>
      <x:c r="W138" s="32" t="str">
        <x:f>I138</x:f>
        <x:v>Visible</x:v>
      </x:c>
      <x:c r="X138" s="32" t="str">
        <x:f>R138</x:f>
        <x:v>Creator</x:v>
      </x:c>
      <x:c r="Y138" s="33" t="str">
        <x:f>T138</x:f>
        <x:v>No Verified User Reply</x:v>
      </x:c>
    </x:row>
    <x:row r="139">
      <x:c r="A139" s="49" t="n">
        <x:v>46226</x:v>
      </x:c>
      <x:c r="B139" s="32" t="str">
        <x:v>12:30</x:v>
      </x:c>
      <x:c r="C139" s="52" t="n">
        <x:v>46226</x:v>
      </x:c>
      <x:c r="D139" s="32" t="str">
        <x:v>IC-0068</x:v>
      </x:c>
      <x:c r="E139" s="32" t="str">
        <x:v>Account Slot 8</x:v>
      </x:c>
      <x:c r="F139" s="32" t="str">
        <x:v>https://video.invalid/case/V0068</x:v>
      </x:c>
      <x:c r="G139" s="32" t="str">
        <x:v>creator_case_068</x:v>
      </x:c>
      <x:c r="H139" s="32" t="str">
        <x:v>Pending</x:v>
      </x:c>
      <x:c r="I139" s="32" t="str">
        <x:v>Missing</x:v>
      </x:c>
      <x:c r="J139" s="32" t="str">
        <x:v>EVD-SYN-0068-30M</x:v>
      </x:c>
      <x:c r="K139" s="32" t="str">
        <x:v>30m verification</x:v>
      </x:c>
      <x:c r="L139" s="32" t="str">
        <x:v>None</x:v>
      </x:c>
      <x:c r="M139" s="32" t="str">
        <x:v>Pass</x:v>
      </x:c>
      <x:c r="N139" s="32" t="str">
        <x:v>ชอบที่ชุดออฟฟิศนี้ดูสบายตาแต่ยังมีสไตล์ค่ะ ถ้าเติมจุดเล็กตรงแนวกระดุมแบบในรูป เสื้อพื้นฐานน่าจะได้อีกมู้ดที่ดูตั้งใจขึ้น</x:v>
      </x:c>
      <x:c r="O139" s="32"/>
      <x:c r="P139" s="32" t="n">
        <x:v>0</x:v>
      </x:c>
      <x:c r="Q139" s="32" t="str"/>
      <x:c r="R139" s="32" t="str">
        <x:v>None</x:v>
      </x:c>
      <x:c r="S139" s="32" t="str">
        <x:v>30m</x:v>
      </x:c>
      <x:c r="T139" s="32" t="str">
        <x:f>IF(I139="Inconclusive","Inconclusive",IF(AND(OR(R139="User",R139="Mixed"),J139&lt;&gt;""),IF(R139="Mixed","Mixed Reply","Verified User Reply"),"No Verified User Reply"))</x:f>
        <x:v>No Verified User Reply</x:v>
      </x:c>
      <x:c r="U139" s="32" t="str">
        <x:v>BATCH-VERIFY-30M</x:v>
      </x:c>
      <x:c r="V139" s="32" t="str">
        <x:f>D139&amp;"|"&amp;S139</x:f>
        <x:v>IC-0068|30m</x:v>
      </x:c>
      <x:c r="W139" s="32" t="str">
        <x:f>I139</x:f>
        <x:v>Missing</x:v>
      </x:c>
      <x:c r="X139" s="32" t="str">
        <x:f>R139</x:f>
        <x:v>None</x:v>
      </x:c>
      <x:c r="Y139" s="33" t="str">
        <x:f>T139</x:f>
        <x:v>No Verified User Reply</x:v>
      </x:c>
    </x:row>
    <x:row r="140">
      <x:c r="A140" s="49" t="n">
        <x:v>46227</x:v>
      </x:c>
      <x:c r="B140" s="32" t="str">
        <x:v>12:00</x:v>
      </x:c>
      <x:c r="C140" s="52" t="n">
        <x:v>46226</x:v>
      </x:c>
      <x:c r="D140" s="32" t="str">
        <x:v>IC-0068</x:v>
      </x:c>
      <x:c r="E140" s="32" t="str">
        <x:v>Account Slot 8</x:v>
      </x:c>
      <x:c r="F140" s="32" t="str">
        <x:v>https://video.invalid/case/V0068</x:v>
      </x:c>
      <x:c r="G140" s="32" t="str">
        <x:v>creator_case_068</x:v>
      </x:c>
      <x:c r="H140" s="32" t="str">
        <x:v>Pending</x:v>
      </x:c>
      <x:c r="I140" s="32" t="str">
        <x:v>Visible</x:v>
      </x:c>
      <x:c r="J140" s="32" t="str">
        <x:v>EVD-SYN-0068-24H</x:v>
      </x:c>
      <x:c r="K140" s="32" t="str">
        <x:v>24h verification</x:v>
      </x:c>
      <x:c r="L140" s="32" t="str">
        <x:v>None</x:v>
      </x:c>
      <x:c r="M140" s="32" t="str">
        <x:v>Pass</x:v>
      </x:c>
      <x:c r="N140" s="32" t="str">
        <x:v>ชอบที่ชุดออฟฟิศนี้ดูสบายตาแต่ยังมีสไตล์ค่ะ ถ้าเติมจุดเล็กตรงแนวกระดุมแบบในรูป เสื้อพื้นฐานน่าจะได้อีกมู้ดที่ดูตั้งใจขึ้น</x:v>
      </x:c>
      <x:c r="O140" s="32" t="str">
        <x:v>ชอบที่ชุดออฟฟิศนี้ดูสบายตาแต่ยังมีสไตล์ค่ะ ถ้าเติมจุดเล็กตรงแนวกระดุมแบบในรูป เสื้อพื้นฐานน่าจะได้อีกมู้ดที่ดูตั้งใจขึ้น</x:v>
      </x:c>
      <x:c r="P140" s="32" t="n">
        <x:v>0</x:v>
      </x:c>
      <x:c r="Q140" s="32" t="str"/>
      <x:c r="R140" s="32" t="str">
        <x:v>None</x:v>
      </x:c>
      <x:c r="S140" s="32" t="str">
        <x:v>24h</x:v>
      </x:c>
      <x:c r="T140" s="32" t="str">
        <x:f>IF(I140="Inconclusive","Inconclusive",IF(AND(OR(R140="User",R140="Mixed"),J140&lt;&gt;""),IF(R140="Mixed","Mixed Reply","Verified User Reply"),"No Verified User Reply"))</x:f>
        <x:v>No Verified User Reply</x:v>
      </x:c>
      <x:c r="U140" s="32" t="str">
        <x:v>BATCH-VERIFY-24H</x:v>
      </x:c>
      <x:c r="V140" s="32" t="str">
        <x:f>D140&amp;"|"&amp;S140</x:f>
        <x:v>IC-0068|24h</x:v>
      </x:c>
      <x:c r="W140" s="32" t="str">
        <x:f>I140</x:f>
        <x:v>Visible</x:v>
      </x:c>
      <x:c r="X140" s="32" t="str">
        <x:f>R140</x:f>
        <x:v>None</x:v>
      </x:c>
      <x:c r="Y140" s="33" t="str">
        <x:f>T140</x:f>
        <x:v>No Verified User Reply</x:v>
      </x:c>
    </x:row>
    <x:row r="141">
      <x:c r="A141" s="49" t="n">
        <x:v>46226</x:v>
      </x:c>
      <x:c r="B141" s="32" t="str">
        <x:v>12:30</x:v>
      </x:c>
      <x:c r="C141" s="52" t="n">
        <x:v>46226</x:v>
      </x:c>
      <x:c r="D141" s="32" t="str">
        <x:v>IC-0069</x:v>
      </x:c>
      <x:c r="E141" s="32" t="str">
        <x:v>Account Slot 9</x:v>
      </x:c>
      <x:c r="F141" s="32" t="str">
        <x:v>https://video.invalid/case/V0069</x:v>
      </x:c>
      <x:c r="G141" s="32" t="str">
        <x:v>creator_case_069</x:v>
      </x:c>
      <x:c r="H141" s="32" t="str">
        <x:v>Pending</x:v>
      </x:c>
      <x:c r="I141" s="32" t="str">
        <x:v>Visible</x:v>
      </x:c>
      <x:c r="J141" s="32" t="str">
        <x:v>EVD-SYN-0069-30M</x:v>
      </x:c>
      <x:c r="K141" s="32" t="str">
        <x:v>30m verification</x:v>
      </x:c>
      <x:c r="L141" s="32" t="str">
        <x:v>None</x:v>
      </x:c>
      <x:c r="M141" s="32" t="str">
        <x:v>Pass</x:v>
      </x:c>
      <x:c r="N141" s="32" t="str">
        <x:v>เลเยอร์แบบนี้ทำให้ชุดดูมีมิติโดยยังสบายตาอยู่ ดีเทลคอเสื้อกับปลายแขนแบบในรูปช่วยเปลี่ยนเสื้อตัวเดิมให้ดูพิเศษขึ้นพอดี</x:v>
      </x:c>
      <x:c r="O141" s="32" t="str">
        <x:v>เลเยอร์แบบนี้ทำให้ชุดดูมีมิติโดยยังสบายตาอยู่ ดีเทลคอเสื้อกับปลายแขนแบบในรูปช่วยเปลี่ยนเสื้อตัวเดิมให้ดูพิเศษขึ้นพอดี</x:v>
      </x:c>
      <x:c r="P141" s="32" t="n">
        <x:v>0</x:v>
      </x:c>
      <x:c r="Q141" s="32" t="str"/>
      <x:c r="R141" s="32" t="str">
        <x:v>None</x:v>
      </x:c>
      <x:c r="S141" s="32" t="str">
        <x:v>30m</x:v>
      </x:c>
      <x:c r="T141" s="32" t="str">
        <x:f>IF(I141="Inconclusive","Inconclusive",IF(AND(OR(R141="User",R141="Mixed"),J141&lt;&gt;""),IF(R141="Mixed","Mixed Reply","Verified User Reply"),"No Verified User Reply"))</x:f>
        <x:v>No Verified User Reply</x:v>
      </x:c>
      <x:c r="U141" s="32" t="str">
        <x:v>BATCH-VERIFY-30M</x:v>
      </x:c>
      <x:c r="V141" s="32" t="str">
        <x:f>D141&amp;"|"&amp;S141</x:f>
        <x:v>IC-0069|30m</x:v>
      </x:c>
      <x:c r="W141" s="32" t="str">
        <x:f>I141</x:f>
        <x:v>Visible</x:v>
      </x:c>
      <x:c r="X141" s="32" t="str">
        <x:f>R141</x:f>
        <x:v>None</x:v>
      </x:c>
      <x:c r="Y141" s="33" t="str">
        <x:f>T141</x:f>
        <x:v>No Verified User Reply</x:v>
      </x:c>
    </x:row>
    <x:row r="142">
      <x:c r="A142" s="49" t="n">
        <x:v>46227</x:v>
      </x:c>
      <x:c r="B142" s="32" t="str">
        <x:v>12:00</x:v>
      </x:c>
      <x:c r="C142" s="52" t="n">
        <x:v>46226</x:v>
      </x:c>
      <x:c r="D142" s="32" t="str">
        <x:v>IC-0069</x:v>
      </x:c>
      <x:c r="E142" s="32" t="str">
        <x:v>Account Slot 9</x:v>
      </x:c>
      <x:c r="F142" s="32" t="str">
        <x:v>https://video.invalid/case/V0069</x:v>
      </x:c>
      <x:c r="G142" s="32" t="str">
        <x:v>creator_case_069</x:v>
      </x:c>
      <x:c r="H142" s="32" t="str">
        <x:v>Pending</x:v>
      </x:c>
      <x:c r="I142" s="32" t="str">
        <x:v>Visible</x:v>
      </x:c>
      <x:c r="J142" s="32" t="str">
        <x:v>EVD-SYN-0069-24H</x:v>
      </x:c>
      <x:c r="K142" s="32" t="str">
        <x:v>24h verification</x:v>
      </x:c>
      <x:c r="L142" s="32" t="str">
        <x:v>None</x:v>
      </x:c>
      <x:c r="M142" s="32" t="str">
        <x:v>Pass</x:v>
      </x:c>
      <x:c r="N142" s="32" t="str">
        <x:v>เลเยอร์แบบนี้ทำให้ชุดดูมีมิติโดยยังสบายตาอยู่ ดีเทลคอเสื้อกับปลายแขนแบบในรูปช่วยเปลี่ยนเสื้อตัวเดิมให้ดูพิเศษขึ้นพอดี</x:v>
      </x:c>
      <x:c r="O142" s="32" t="str">
        <x:v>เลเยอร์แบบนี้ทำให้ชุดดูมีมิติโดยยังสบายตาอยู่ ดีเทลคอเสื้อกับปลายแขนแบบในรูปช่วยเปลี่ยนเสื้อตัวเดิมให้ดูพิเศษขึ้นพอดี</x:v>
      </x:c>
      <x:c r="P142" s="32" t="n">
        <x:v>0</x:v>
      </x:c>
      <x:c r="Q142" s="32" t="str"/>
      <x:c r="R142" s="32" t="str">
        <x:v>None</x:v>
      </x:c>
      <x:c r="S142" s="32" t="str">
        <x:v>24h</x:v>
      </x:c>
      <x:c r="T142" s="32" t="str">
        <x:f>IF(I142="Inconclusive","Inconclusive",IF(AND(OR(R142="User",R142="Mixed"),J142&lt;&gt;""),IF(R142="Mixed","Mixed Reply","Verified User Reply"),"No Verified User Reply"))</x:f>
        <x:v>No Verified User Reply</x:v>
      </x:c>
      <x:c r="U142" s="32" t="str">
        <x:v>BATCH-VERIFY-24H</x:v>
      </x:c>
      <x:c r="V142" s="32" t="str">
        <x:f>D142&amp;"|"&amp;S142</x:f>
        <x:v>IC-0069|24h</x:v>
      </x:c>
      <x:c r="W142" s="32" t="str">
        <x:f>I142</x:f>
        <x:v>Visible</x:v>
      </x:c>
      <x:c r="X142" s="32" t="str">
        <x:f>R142</x:f>
        <x:v>None</x:v>
      </x:c>
      <x:c r="Y142" s="33" t="str">
        <x:f>T142</x:f>
        <x:v>No Verified User Reply</x:v>
      </x:c>
    </x:row>
    <x:row r="143">
      <x:c r="A143" s="49" t="n">
        <x:v>46226</x:v>
      </x:c>
      <x:c r="B143" s="32" t="str">
        <x:v>12:30</x:v>
      </x:c>
      <x:c r="C143" s="52" t="n">
        <x:v>46226</x:v>
      </x:c>
      <x:c r="D143" s="32" t="str">
        <x:v>IC-0070</x:v>
      </x:c>
      <x:c r="E143" s="32" t="str">
        <x:v>Account Slot 10</x:v>
      </x:c>
      <x:c r="F143" s="32" t="str">
        <x:v>https://video.invalid/case/V0070</x:v>
      </x:c>
      <x:c r="G143" s="32" t="str">
        <x:v>creator_case_070</x:v>
      </x:c>
      <x:c r="H143" s="32" t="str">
        <x:v>Pending</x:v>
      </x:c>
      <x:c r="I143" s="32" t="str">
        <x:v>Visible</x:v>
      </x:c>
      <x:c r="J143" s="32" t="str">
        <x:v>EVD-SYN-0070-30M</x:v>
      </x:c>
      <x:c r="K143" s="32" t="str">
        <x:v>30m verification</x:v>
      </x:c>
      <x:c r="L143" s="32" t="str">
        <x:v>None</x:v>
      </x:c>
      <x:c r="M143" s="32" t="str">
        <x:v>Pass</x:v>
      </x:c>
      <x:c r="N143" s="32" t="str">
        <x:v>คาร์ดิแกนลุคนี้ให้มู้ดละมุนและดูใส่สบายมากค่ะ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O143" s="32" t="str">
        <x:v>คาร์ดิแกนลุคนี้ให้มู้ดละมุนและดูใส่สบายมากค่ะ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P143" s="32" t="n">
        <x:v>0</x:v>
      </x:c>
      <x:c r="Q143" s="32" t="str"/>
      <x:c r="R143" s="32" t="str">
        <x:v>None</x:v>
      </x:c>
      <x:c r="S143" s="32" t="str">
        <x:v>30m</x:v>
      </x:c>
      <x:c r="T143" s="32" t="str">
        <x:f>IF(I143="Inconclusive","Inconclusive",IF(AND(OR(R143="User",R143="Mixed"),J143&lt;&gt;""),IF(R143="Mixed","Mixed Reply","Verified User Reply"),"No Verified User Reply"))</x:f>
        <x:v>No Verified User Reply</x:v>
      </x:c>
      <x:c r="U143" s="32" t="str">
        <x:v>BATCH-VERIFY-30M</x:v>
      </x:c>
      <x:c r="V143" s="32" t="str">
        <x:f>D143&amp;"|"&amp;S143</x:f>
        <x:v>IC-0070|30m</x:v>
      </x:c>
      <x:c r="W143" s="32" t="str">
        <x:f>I143</x:f>
        <x:v>Visible</x:v>
      </x:c>
      <x:c r="X143" s="32" t="str">
        <x:f>R143</x:f>
        <x:v>None</x:v>
      </x:c>
      <x:c r="Y143" s="33" t="str">
        <x:f>T143</x:f>
        <x:v>No Verified User Reply</x:v>
      </x:c>
    </x:row>
    <x:row r="144">
      <x:c r="A144" s="49" t="n">
        <x:v>46227</x:v>
      </x:c>
      <x:c r="B144" s="32" t="str">
        <x:v>12:00</x:v>
      </x:c>
      <x:c r="C144" s="52" t="n">
        <x:v>46226</x:v>
      </x:c>
      <x:c r="D144" s="32" t="str">
        <x:v>IC-0070</x:v>
      </x:c>
      <x:c r="E144" s="32" t="str">
        <x:v>Account Slot 10</x:v>
      </x:c>
      <x:c r="F144" s="32" t="str">
        <x:v>https://video.invalid/case/V0070</x:v>
      </x:c>
      <x:c r="G144" s="32" t="str">
        <x:v>creator_case_070</x:v>
      </x:c>
      <x:c r="H144" s="32" t="str">
        <x:v>Pending</x:v>
      </x:c>
      <x:c r="I144" s="32" t="str">
        <x:v>Visible</x:v>
      </x:c>
      <x:c r="J144" s="32" t="str">
        <x:v>EVD-SYN-0070-24H</x:v>
      </x:c>
      <x:c r="K144" s="32" t="str">
        <x:v>24h verification</x:v>
      </x:c>
      <x:c r="L144" s="32" t="str">
        <x:v>None</x:v>
      </x:c>
      <x:c r="M144" s="32" t="str">
        <x:v>Pass</x:v>
      </x:c>
      <x:c r="N144" s="32" t="str">
        <x:v>คาร์ดิแกนลุคนี้ให้มู้ดละมุนและดูใส่สบายมากค่ะ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O144" s="32" t="str">
        <x:v>คาร์ดิแกนลุคนี้ให้มู้ดละมุนและดูใส่สบายมากค่ะ วันไหนต้องประชุม ลองเพิ่มดีเทลชิ้นเล็กแบบในรูปแทนเครื่องประดับหลายชิ้นก็น่าสนใจค่ะ</x:v>
      </x:c>
      <x:c r="P144" s="32" t="n">
        <x:v>0</x:v>
      </x:c>
      <x:c r="Q144" s="32" t="str"/>
      <x:c r="R144" s="32" t="str">
        <x:v>None</x:v>
      </x:c>
      <x:c r="S144" s="32" t="str">
        <x:v>24h</x:v>
      </x:c>
      <x:c r="T144" s="32" t="str">
        <x:f>IF(I144="Inconclusive","Inconclusive",IF(AND(OR(R144="User",R144="Mixed"),J144&lt;&gt;""),IF(R144="Mixed","Mixed Reply","Verified User Reply"),"No Verified User Reply"))</x:f>
        <x:v>No Verified User Reply</x:v>
      </x:c>
      <x:c r="U144" s="32" t="str">
        <x:v>BATCH-VERIFY-24H</x:v>
      </x:c>
      <x:c r="V144" s="32" t="str">
        <x:f>D144&amp;"|"&amp;S144</x:f>
        <x:v>IC-0070|24h</x:v>
      </x:c>
      <x:c r="W144" s="32" t="str">
        <x:f>I144</x:f>
        <x:v>Visible</x:v>
      </x:c>
      <x:c r="X144" s="32" t="str">
        <x:f>R144</x:f>
        <x:v>None</x:v>
      </x:c>
      <x:c r="Y144" s="33" t="str">
        <x:f>T144</x:f>
        <x:v>No Verified User Reply</x:v>
      </x:c>
    </x:row>
    <x:row r="145">
      <x:c r="A145" s="49" t="n">
        <x:v>46226</x:v>
      </x:c>
      <x:c r="B145" s="32" t="str">
        <x:v>12:30</x:v>
      </x:c>
      <x:c r="C145" s="52" t="n">
        <x:v>46226</x:v>
      </x:c>
      <x:c r="D145" s="32" t="str">
        <x:v>IC-0071</x:v>
      </x:c>
      <x:c r="E145" s="32" t="str">
        <x:v>Account Slot 1</x:v>
      </x:c>
      <x:c r="F145" s="32" t="str">
        <x:v>https://video.invalid/case/V0071</x:v>
      </x:c>
      <x:c r="G145" s="32" t="str">
        <x:v>creator_case_071</x:v>
      </x:c>
      <x:c r="H145" s="32" t="str">
        <x:v>Pending</x:v>
      </x:c>
      <x:c r="I145" s="32" t="str">
        <x:v>Visible</x:v>
      </x:c>
      <x:c r="J145" s="32" t="str">
        <x:v>EVD-SYN-0071-30M</x:v>
      </x:c>
      <x:c r="K145" s="32" t="str">
        <x:v>30m verification</x:v>
      </x:c>
      <x:c r="L145" s="32" t="str">
        <x:v>None</x:v>
      </x:c>
      <x:c r="M145" s="32" t="str">
        <x:v>Pass</x:v>
      </x:c>
      <x:c r="N145" s="32" t="str">
        <x:v>สนใจสินค้าทักแชตทันที ส่งฟรีทุกออเดอร์</x:v>
      </x:c>
      <x:c r="O145" s="32" t="str">
        <x:v>สนใจสินค้าทักแชตทันที ส่งฟรีทุกออเดอร์</x:v>
      </x:c>
      <x:c r="P145" s="32" t="n">
        <x:v>1</x:v>
      </x:c>
      <x:c r="Q145" s="32" t="str">
        <x:v>Synthetic reply preview</x:v>
      </x:c>
      <x:c r="R145" s="32" t="str">
        <x:v>User</x:v>
      </x:c>
      <x:c r="S145" s="32" t="str">
        <x:v>30m</x:v>
      </x:c>
      <x:c r="T145" s="32" t="str">
        <x:f>IF(I145="Inconclusive","Inconclusive",IF(AND(OR(R145="User",R145="Mixed"),J145&lt;&gt;""),IF(R145="Mixed","Mixed Reply","Verified User Reply"),"No Verified User Reply"))</x:f>
        <x:v>Verified User Reply</x:v>
      </x:c>
      <x:c r="U145" s="32" t="str">
        <x:v>BATCH-VERIFY-30M</x:v>
      </x:c>
      <x:c r="V145" s="32" t="str">
        <x:f>D145&amp;"|"&amp;S145</x:f>
        <x:v>IC-0071|30m</x:v>
      </x:c>
      <x:c r="W145" s="32" t="str">
        <x:f>I145</x:f>
        <x:v>Visible</x:v>
      </x:c>
      <x:c r="X145" s="32" t="str">
        <x:f>R145</x:f>
        <x:v>User</x:v>
      </x:c>
      <x:c r="Y145" s="33" t="str">
        <x:f>T145</x:f>
        <x:v>Verified User Reply</x:v>
      </x:c>
    </x:row>
    <x:row r="146">
      <x:c r="A146" s="49" t="n">
        <x:v>46227</x:v>
      </x:c>
      <x:c r="B146" s="32" t="str">
        <x:v>12:00</x:v>
      </x:c>
      <x:c r="C146" s="52" t="n">
        <x:v>46226</x:v>
      </x:c>
      <x:c r="D146" s="32" t="str">
        <x:v>IC-0071</x:v>
      </x:c>
      <x:c r="E146" s="32" t="str">
        <x:v>Account Slot 1</x:v>
      </x:c>
      <x:c r="F146" s="32" t="str">
        <x:v>https://video.invalid/case/V0071</x:v>
      </x:c>
      <x:c r="G146" s="32" t="str">
        <x:v>creator_case_071</x:v>
      </x:c>
      <x:c r="H146" s="32" t="str">
        <x:v>Pending</x:v>
      </x:c>
      <x:c r="I146" s="32" t="str">
        <x:v>Missing</x:v>
      </x:c>
      <x:c r="J146" s="32" t="str">
        <x:v>EVD-SYN-0071-24H</x:v>
      </x:c>
      <x:c r="K146" s="32" t="str">
        <x:v>24h verification</x:v>
      </x:c>
      <x:c r="L146" s="32" t="str">
        <x:v>None</x:v>
      </x:c>
      <x:c r="M146" s="32" t="str">
        <x:v>Pass</x:v>
      </x:c>
      <x:c r="N146" s="32" t="str">
        <x:v>สนใจสินค้าทักแชตทันที ส่งฟรีทุกออเดอร์</x:v>
      </x:c>
      <x:c r="O146" s="32"/>
      <x:c r="P146" s="32" t="n">
        <x:v>0</x:v>
      </x:c>
      <x:c r="Q146" s="32" t="str"/>
      <x:c r="R146" s="32" t="str">
        <x:v>None</x:v>
      </x:c>
      <x:c r="S146" s="32" t="str">
        <x:v>24h</x:v>
      </x:c>
      <x:c r="T146" s="32" t="str">
        <x:f>IF(I146="Inconclusive","Inconclusive",IF(AND(OR(R146="User",R146="Mixed"),J146&lt;&gt;""),IF(R146="Mixed","Mixed Reply","Verified User Reply"),"No Verified User Reply"))</x:f>
        <x:v>No Verified User Reply</x:v>
      </x:c>
      <x:c r="U146" s="32" t="str">
        <x:v>BATCH-VERIFY-24H</x:v>
      </x:c>
      <x:c r="V146" s="32" t="str">
        <x:f>D146&amp;"|"&amp;S146</x:f>
        <x:v>IC-0071|24h</x:v>
      </x:c>
      <x:c r="W146" s="32" t="str">
        <x:f>I146</x:f>
        <x:v>Missing</x:v>
      </x:c>
      <x:c r="X146" s="32" t="str">
        <x:f>R146</x:f>
        <x:v>None</x:v>
      </x:c>
      <x:c r="Y146" s="33" t="str">
        <x:f>T146</x:f>
        <x:v>No Verified User Reply</x:v>
      </x:c>
    </x:row>
    <x:row r="147">
      <x:c r="A147" s="49" t="n">
        <x:v>46226</x:v>
      </x:c>
      <x:c r="B147" s="32" t="str">
        <x:v>12:30</x:v>
      </x:c>
      <x:c r="C147" s="52" t="n">
        <x:v>46226</x:v>
      </x:c>
      <x:c r="D147" s="32" t="str">
        <x:v>IC-0072</x:v>
      </x:c>
      <x:c r="E147" s="32" t="str">
        <x:v>Account Slot 2</x:v>
      </x:c>
      <x:c r="F147" s="32" t="str">
        <x:v>https://video.invalid/case/V0072</x:v>
      </x:c>
      <x:c r="G147" s="32" t="str">
        <x:v>creator_case_072</x:v>
      </x:c>
      <x:c r="H147" s="32" t="str">
        <x:v>Pending</x:v>
      </x:c>
      <x:c r="I147" s="32" t="str">
        <x:v>Visible</x:v>
      </x:c>
      <x:c r="J147" s="32" t="str">
        <x:v>EVD-SYN-0072-30M</x:v>
      </x:c>
      <x:c r="K147" s="32" t="str">
        <x:v>30m verification</x:v>
      </x:c>
      <x:c r="L147" s="32" t="str">
        <x:v>None</x:v>
      </x:c>
      <x:c r="M147" s="32" t="str">
        <x:v>Pass</x:v>
      </x:c>
      <x:c r="N147" s="32" t="str">
        <x:v>เป็นไอเดียแต่งตัวประจำวันที่ดูดีแบบไม่ต้องคิดเยอะค่ะ ถ้าเติมจุดเล็กตรงแนวกระดุมแบบในรูป เสื้อพื้นฐานน่าจะได้อีกมู้ดที่ดูตั้งใจขึ้น</x:v>
      </x:c>
      <x:c r="O147" s="32" t="str">
        <x:v>เป็นไอเดียแต่งตัวประจำวันที่ดูดีแบบไม่ต้องคิดเยอะค่ะ ถ้าเติมจุดเล็กตรงแนวกระดุมแบบในรูป เสื้อพื้นฐานน่าจะได้อีกมู้ดที่ดูตั้งใจขึ้น</x:v>
      </x:c>
      <x:c r="P147" s="32" t="n">
        <x:v>0</x:v>
      </x:c>
      <x:c r="Q147" s="32" t="str"/>
      <x:c r="R147" s="32" t="str">
        <x:v>None</x:v>
      </x:c>
      <x:c r="S147" s="32" t="str">
        <x:v>30m</x:v>
      </x:c>
      <x:c r="T147" s="32" t="str">
        <x:f>IF(I147="Inconclusive","Inconclusive",IF(AND(OR(R147="User",R147="Mixed"),J147&lt;&gt;""),IF(R147="Mixed","Mixed Reply","Verified User Reply"),"No Verified User Reply"))</x:f>
        <x:v>No Verified User Reply</x:v>
      </x:c>
      <x:c r="U147" s="32" t="str">
        <x:v>BATCH-VERIFY-30M</x:v>
      </x:c>
      <x:c r="V147" s="32" t="str">
        <x:f>D147&amp;"|"&amp;S147</x:f>
        <x:v>IC-0072|30m</x:v>
      </x:c>
      <x:c r="W147" s="32" t="str">
        <x:f>I147</x:f>
        <x:v>Visible</x:v>
      </x:c>
      <x:c r="X147" s="32" t="str">
        <x:f>R147</x:f>
        <x:v>None</x:v>
      </x:c>
      <x:c r="Y147" s="33" t="str">
        <x:f>T147</x:f>
        <x:v>No Verified User Reply</x:v>
      </x:c>
    </x:row>
    <x:row r="148">
      <x:c r="A148" s="49" t="n">
        <x:v>46227</x:v>
      </x:c>
      <x:c r="B148" s="32" t="str">
        <x:v>12:00</x:v>
      </x:c>
      <x:c r="C148" s="52" t="n">
        <x:v>46226</x:v>
      </x:c>
      <x:c r="D148" s="32" t="str">
        <x:v>IC-0072</x:v>
      </x:c>
      <x:c r="E148" s="32" t="str">
        <x:v>Account Slot 2</x:v>
      </x:c>
      <x:c r="F148" s="32" t="str">
        <x:v>https://video.invalid/case/V0072</x:v>
      </x:c>
      <x:c r="G148" s="32" t="str">
        <x:v>creator_case_072</x:v>
      </x:c>
      <x:c r="H148" s="32" t="str">
        <x:v>Pending</x:v>
      </x:c>
      <x:c r="I148" s="32" t="str">
        <x:v>Visible</x:v>
      </x:c>
      <x:c r="J148" s="32" t="str">
        <x:v>EVD-SYN-0072-24H</x:v>
      </x:c>
      <x:c r="K148" s="32" t="str">
        <x:v>24h verification</x:v>
      </x:c>
      <x:c r="L148" s="32" t="str">
        <x:v>None</x:v>
      </x:c>
      <x:c r="M148" s="32" t="str">
        <x:v>Pass</x:v>
      </x:c>
      <x:c r="N148" s="32" t="str">
        <x:v>เป็นไอเดียแต่งตัวประจำวันที่ดูดีแบบไม่ต้องคิดเยอะค่ะ ถ้าเติมจุดเล็กตรงแนวกระดุมแบบในรูป เสื้อพื้นฐานน่าจะได้อีกมู้ดที่ดูตั้งใจขึ้น</x:v>
      </x:c>
      <x:c r="O148" s="32" t="str">
        <x:v>เป็นไอเดียแต่งตัวประจำวันที่ดูดีแบบไม่ต้องคิดเยอะค่ะ ถ้าเติมจุดเล็กตรงแนวกระดุมแบบในรูป เสื้อพื้นฐานน่าจะได้อีกมู้ดที่ดูตั้งใจขึ้น</x:v>
      </x:c>
      <x:c r="P148" s="32" t="n">
        <x:v>0</x:v>
      </x:c>
      <x:c r="Q148" s="32" t="str"/>
      <x:c r="R148" s="32" t="str">
        <x:v>None</x:v>
      </x:c>
      <x:c r="S148" s="32" t="str">
        <x:v>24h</x:v>
      </x:c>
      <x:c r="T148" s="32" t="str">
        <x:f>IF(I148="Inconclusive","Inconclusive",IF(AND(OR(R148="User",R148="Mixed"),J148&lt;&gt;""),IF(R148="Mixed","Mixed Reply","Verified User Reply"),"No Verified User Reply"))</x:f>
        <x:v>No Verified User Reply</x:v>
      </x:c>
      <x:c r="U148" s="32" t="str">
        <x:v>BATCH-VERIFY-24H</x:v>
      </x:c>
      <x:c r="V148" s="32" t="str">
        <x:f>D148&amp;"|"&amp;S148</x:f>
        <x:v>IC-0072|24h</x:v>
      </x:c>
      <x:c r="W148" s="32" t="str">
        <x:f>I148</x:f>
        <x:v>Visible</x:v>
      </x:c>
      <x:c r="X148" s="32" t="str">
        <x:f>R148</x:f>
        <x:v>None</x:v>
      </x:c>
      <x:c r="Y148" s="33" t="str">
        <x:f>T148</x:f>
        <x:v>No Verified User Reply</x:v>
      </x:c>
    </x:row>
    <x:row r="149">
      <x:c r="A149" s="49" t="n">
        <x:v>46226</x:v>
      </x:c>
      <x:c r="B149" s="32" t="str">
        <x:v>12:30</x:v>
      </x:c>
      <x:c r="C149" s="52" t="n">
        <x:v>46226</x:v>
      </x:c>
      <x:c r="D149" s="32" t="str">
        <x:v>IC-0073</x:v>
      </x:c>
      <x:c r="E149" s="32" t="str">
        <x:v>Account Slot 3</x:v>
      </x:c>
      <x:c r="F149" s="32" t="str">
        <x:v>https://video.invalid/case/V0073</x:v>
      </x:c>
      <x:c r="G149" s="32" t="str">
        <x:v>creator_case_073</x:v>
      </x:c>
      <x:c r="H149" s="32" t="str">
        <x:v>Pending</x:v>
      </x:c>
      <x:c r="I149" s="32" t="str">
        <x:v>Missing</x:v>
      </x:c>
      <x:c r="J149" s="32" t="str">
        <x:v>EVD-SYN-0073-30M</x:v>
      </x:c>
      <x:c r="K149" s="32" t="str">
        <x:v>30m verification</x:v>
      </x:c>
      <x:c r="L149" s="32" t="str">
        <x:v>None</x:v>
      </x:c>
      <x:c r="M149" s="32" t="str">
        <x:v>Pass</x:v>
      </x:c>
      <x:c r="N149" s="32" t="str">
        <x:v>ชุดนี้แต่งตามง่ายและเหมาะกับหลายโอกาสจริงค่ะ ลูกเล่นตรงแนวกระดุมแบบในรูปเพิ่มความหวานให้ลุคโดยยังดูสุภาพอยู่ค่ะ</x:v>
      </x:c>
      <x:c r="O149" s="32"/>
      <x:c r="P149" s="32" t="n">
        <x:v>0</x:v>
      </x:c>
      <x:c r="Q149" s="32" t="str"/>
      <x:c r="R149" s="32" t="str">
        <x:v>None</x:v>
      </x:c>
      <x:c r="S149" s="32" t="str">
        <x:v>30m</x:v>
      </x:c>
      <x:c r="T149" s="32" t="str">
        <x:f>IF(I149="Inconclusive","Inconclusive",IF(AND(OR(R149="User",R149="Mixed"),J149&lt;&gt;""),IF(R149="Mixed","Mixed Reply","Verified User Reply"),"No Verified User Reply"))</x:f>
        <x:v>No Verified User Reply</x:v>
      </x:c>
      <x:c r="U149" s="32" t="str">
        <x:v>BATCH-VERIFY-30M</x:v>
      </x:c>
      <x:c r="V149" s="32" t="str">
        <x:f>D149&amp;"|"&amp;S149</x:f>
        <x:v>IC-0073|30m</x:v>
      </x:c>
      <x:c r="W149" s="32" t="str">
        <x:f>I149</x:f>
        <x:v>Missing</x:v>
      </x:c>
      <x:c r="X149" s="32" t="str">
        <x:f>R149</x:f>
        <x:v>None</x:v>
      </x:c>
      <x:c r="Y149" s="33" t="str">
        <x:f>T149</x:f>
        <x:v>No Verified User Reply</x:v>
      </x:c>
    </x:row>
    <x:row r="150">
      <x:c r="A150" s="49" t="n">
        <x:v>46227</x:v>
      </x:c>
      <x:c r="B150" s="32" t="str">
        <x:v>12:00</x:v>
      </x:c>
      <x:c r="C150" s="52" t="n">
        <x:v>46226</x:v>
      </x:c>
      <x:c r="D150" s="32" t="str">
        <x:v>IC-0073</x:v>
      </x:c>
      <x:c r="E150" s="32" t="str">
        <x:v>Account Slot 3</x:v>
      </x:c>
      <x:c r="F150" s="32" t="str">
        <x:v>https://video.invalid/case/V0073</x:v>
      </x:c>
      <x:c r="G150" s="32" t="str">
        <x:v>creator_case_073</x:v>
      </x:c>
      <x:c r="H150" s="32" t="str">
        <x:v>Pending</x:v>
      </x:c>
      <x:c r="I150" s="32" t="str">
        <x:v>Inconclusive</x:v>
      </x:c>
      <x:c r="J150" s="32" t="str">
        <x:v>EVD-SYN-0073-24H</x:v>
      </x:c>
      <x:c r="K150" s="32" t="str">
        <x:v>24h verification</x:v>
      </x:c>
      <x:c r="L150" s="32" t="str">
        <x:v>Manual review</x:v>
      </x:c>
      <x:c r="M150" s="32" t="str">
        <x:v>Pass</x:v>
      </x:c>
      <x:c r="N150" s="32" t="str">
        <x:v>ชุดนี้แต่งตามง่ายและเหมาะกับหลายโอกาสจริงค่ะ ลูกเล่นตรงแนวกระดุมแบบในรูปเพิ่มความหวานให้ลุคโดยยังดูสุภาพอยู่ค่ะ</x:v>
      </x:c>
      <x:c r="O150" s="32"/>
      <x:c r="P150" s="32" t="n">
        <x:v>0</x:v>
      </x:c>
      <x:c r="Q150" s="32" t="str"/>
      <x:c r="R150" s="32" t="str">
        <x:v>None</x:v>
      </x:c>
      <x:c r="S150" s="32" t="str">
        <x:v>24h</x:v>
      </x:c>
      <x:c r="T150" s="32" t="str">
        <x:v>Verified User Reply</x:v>
      </x:c>
      <x:c r="U150" s="32" t="str">
        <x:v>BATCH-VERIFY-24H</x:v>
      </x:c>
      <x:c r="V150" s="32" t="str">
        <x:f>D150&amp;"|"&amp;S150</x:f>
        <x:v>IC-0073|24h</x:v>
      </x:c>
      <x:c r="W150" s="32" t="str">
        <x:f>I150</x:f>
        <x:v>Inconclusive</x:v>
      </x:c>
      <x:c r="X150" s="32" t="str">
        <x:f>R150</x:f>
        <x:v>None</x:v>
      </x:c>
      <x:c r="Y150" s="33" t="str">
        <x:f>T150</x:f>
        <x:v>Verified User Reply</x:v>
      </x:c>
    </x:row>
    <x:row r="151">
      <x:c r="A151" s="49" t="n">
        <x:v>46226</x:v>
      </x:c>
      <x:c r="B151" s="32" t="str">
        <x:v>12:30</x:v>
      </x:c>
      <x:c r="C151" s="52" t="n">
        <x:v>46226</x:v>
      </x:c>
      <x:c r="D151" s="32" t="str">
        <x:v>IC-0074</x:v>
      </x:c>
      <x:c r="E151" s="32" t="str">
        <x:v>Account Slot 4</x:v>
      </x:c>
      <x:c r="F151" s="32" t="str">
        <x:v>https://video.invalid/case/V0074</x:v>
      </x:c>
      <x:c r="G151" s="32" t="str">
        <x:v>creator_case_074</x:v>
      </x:c>
      <x:c r="H151" s="32" t="str">
        <x:v>Pending</x:v>
      </x:c>
      <x:c r="I151" s="32" t="str">
        <x:v>Visible</x:v>
      </x:c>
      <x:c r="J151" s="32" t="str">
        <x:v>EVD-SYN-0074-30M</x:v>
      </x:c>
      <x:c r="K151" s="32" t="str">
        <x:v>30m verification</x:v>
      </x:c>
      <x:c r="L151" s="32" t="str">
        <x:v>None</x:v>
      </x:c>
      <x:c r="M151" s="32" t="str">
        <x:v>Pass</x:v>
      </x:c>
      <x:c r="N151" s="32" t="str">
        <x:v>เสื้อคลุมทรงนี้ช่วยให้ชุดดูนุ่มนวลขึ้นพอดีเลย ลองใช้ดีเทลตรงคอกับข้อมือแบบในรูปดูค่ะ น่าจะช่วยให้ทั้งลุคคอมพลีตขึ้นมาก</x:v>
      </x:c>
      <x:c r="O151" s="32" t="str">
        <x:v>เสื้อคลุมทรงนี้ช่วยให้ชุดดูนุ่มนวลขึ้นพอดีเลย ลองใช้ดีเทลตรงคอกับข้อมือแบบในรูปดูค่ะ น่าจะช่วยให้ทั้งลุคคอมพลีตขึ้นมาก</x:v>
      </x:c>
      <x:c r="P151" s="32" t="n">
        <x:v>0</x:v>
      </x:c>
      <x:c r="Q151" s="32" t="str"/>
      <x:c r="R151" s="32" t="str">
        <x:v>None</x:v>
      </x:c>
      <x:c r="S151" s="32" t="str">
        <x:v>30m</x:v>
      </x:c>
      <x:c r="T151" s="32" t="str">
        <x:f>IF(I151="Inconclusive","Inconclusive",IF(AND(OR(R151="User",R151="Mixed"),J151&lt;&gt;""),IF(R151="Mixed","Mixed Reply","Verified User Reply"),"No Verified User Reply"))</x:f>
        <x:v>No Verified User Reply</x:v>
      </x:c>
      <x:c r="U151" s="32" t="str">
        <x:v>BATCH-VERIFY-30M</x:v>
      </x:c>
      <x:c r="V151" s="32" t="str">
        <x:f>D151&amp;"|"&amp;S151</x:f>
        <x:v>IC-0074|30m</x:v>
      </x:c>
      <x:c r="W151" s="32" t="str">
        <x:f>I151</x:f>
        <x:v>Visible</x:v>
      </x:c>
      <x:c r="X151" s="32" t="str">
        <x:f>R151</x:f>
        <x:v>None</x:v>
      </x:c>
      <x:c r="Y151" s="33" t="str">
        <x:f>T151</x:f>
        <x:v>No Verified User Reply</x:v>
      </x:c>
    </x:row>
    <x:row r="152">
      <x:c r="A152" s="49" t="n">
        <x:v>46227</x:v>
      </x:c>
      <x:c r="B152" s="32" t="str">
        <x:v>12:00</x:v>
      </x:c>
      <x:c r="C152" s="52" t="n">
        <x:v>46226</x:v>
      </x:c>
      <x:c r="D152" s="32" t="str">
        <x:v>IC-0074</x:v>
      </x:c>
      <x:c r="E152" s="32" t="str">
        <x:v>Account Slot 4</x:v>
      </x:c>
      <x:c r="F152" s="32" t="str">
        <x:v>https://video.invalid/case/V0074</x:v>
      </x:c>
      <x:c r="G152" s="32" t="str">
        <x:v>creator_case_074</x:v>
      </x:c>
      <x:c r="H152" s="32" t="str">
        <x:v>Pending</x:v>
      </x:c>
      <x:c r="I152" s="32" t="str">
        <x:v>Visible</x:v>
      </x:c>
      <x:c r="J152" s="32" t="str">
        <x:v>EVD-SYN-0074-24H</x:v>
      </x:c>
      <x:c r="K152" s="32" t="str">
        <x:v>24h verification</x:v>
      </x:c>
      <x:c r="L152" s="32" t="str">
        <x:v>None</x:v>
      </x:c>
      <x:c r="M152" s="32" t="str">
        <x:v>Pass</x:v>
      </x:c>
      <x:c r="N152" s="32" t="str">
        <x:v>เสื้อคลุมทรงนี้ช่วยให้ชุดดูนุ่มนวลขึ้นพอดีเลย ลองใช้ดีเทลตรงคอกับข้อมือแบบในรูปดูค่ะ น่าจะช่วยให้ทั้งลุคคอมพลีตขึ้นมาก</x:v>
      </x:c>
      <x:c r="O152" s="32" t="str">
        <x:v>เสื้อคลุมทรงนี้ช่วยให้ชุดดูนุ่มนวลขึ้นพอดีเลย ลองใช้ดีเทลตรงคอกับข้อมือแบบในรูปดูค่ะ น่าจะช่วยให้ทั้งลุคคอมพลีตขึ้นมาก</x:v>
      </x:c>
      <x:c r="P152" s="32" t="n">
        <x:v>0</x:v>
      </x:c>
      <x:c r="Q152" s="32" t="str"/>
      <x:c r="R152" s="32" t="str">
        <x:v>None</x:v>
      </x:c>
      <x:c r="S152" s="32" t="str">
        <x:v>24h</x:v>
      </x:c>
      <x:c r="T152" s="32" t="str">
        <x:f>IF(I152="Inconclusive","Inconclusive",IF(AND(OR(R152="User",R152="Mixed"),J152&lt;&gt;""),IF(R152="Mixed","Mixed Reply","Verified User Reply"),"No Verified User Reply"))</x:f>
        <x:v>No Verified User Reply</x:v>
      </x:c>
      <x:c r="U152" s="32" t="str">
        <x:v>BATCH-VERIFY-24H</x:v>
      </x:c>
      <x:c r="V152" s="32" t="str">
        <x:f>D152&amp;"|"&amp;S152</x:f>
        <x:v>IC-0074|24h</x:v>
      </x:c>
      <x:c r="W152" s="32" t="str">
        <x:f>I152</x:f>
        <x:v>Visible</x:v>
      </x:c>
      <x:c r="X152" s="32" t="str">
        <x:f>R152</x:f>
        <x:v>None</x:v>
      </x:c>
      <x:c r="Y152" s="33" t="str">
        <x:f>T152</x:f>
        <x:v>No Verified User Reply</x:v>
      </x:c>
    </x:row>
    <x:row r="153">
      <x:c r="A153" s="49" t="n">
        <x:v>46226</x:v>
      </x:c>
      <x:c r="B153" s="32" t="str">
        <x:v>12:30</x:v>
      </x:c>
      <x:c r="C153" s="52" t="n">
        <x:v>46226</x:v>
      </x:c>
      <x:c r="D153" s="32" t="str">
        <x:v>IC-0075</x:v>
      </x:c>
      <x:c r="E153" s="32" t="str">
        <x:v>Account Slot 5</x:v>
      </x:c>
      <x:c r="F153" s="32" t="str">
        <x:v>https://video.invalid/case/V0075</x:v>
      </x:c>
      <x:c r="G153" s="32" t="str">
        <x:v>creator_case_075</x:v>
      </x:c>
      <x:c r="H153" s="32" t="str">
        <x:v>Pending</x:v>
      </x:c>
      <x:c r="I153" s="32" t="str">
        <x:v>Visible</x:v>
      </x:c>
      <x:c r="J153" s="32" t="str">
        <x:v>EVD-SYN-0075-30M</x:v>
      </x:c>
      <x:c r="K153" s="32" t="str">
        <x:v>30m verification</x:v>
      </x:c>
      <x:c r="L153" s="32" t="str">
        <x:v>None</x:v>
      </x:c>
      <x:c r="M153" s="32" t="str">
        <x:v>Pass</x:v>
      </x:c>
      <x:c r="N153" s="32" t="str">
        <x:v>คอเสื้อแบบนี้ช่วยให้ outfit ดูชัดโดยไม่ต้องแต่งเยอะค่ะ รายละเอียดเล็กตรงกระดุมแบบในรูปช่วยดึงสายตาให้ช่วงบนดูมีมิติมากขึ้นค่ะ</x:v>
      </x:c>
      <x:c r="O153" s="32" t="str">
        <x:v>คอเสื้อแบบนี้ช่วยให้ outfit ดูชัดโดยไม่ต้องแต่งเยอะค่ะ รายละเอียดเล็กตรงกระดุมแบบในรูปช่วยดึงสายตาให้ช่วงบนดูมีมิติมากขึ้นค่ะ</x:v>
      </x:c>
      <x:c r="P153" s="32" t="n">
        <x:v>0</x:v>
      </x:c>
      <x:c r="Q153" s="32" t="str"/>
      <x:c r="R153" s="32" t="str">
        <x:v>None</x:v>
      </x:c>
      <x:c r="S153" s="32" t="str">
        <x:v>30m</x:v>
      </x:c>
      <x:c r="T153" s="32" t="str">
        <x:f>IF(I153="Inconclusive","Inconclusive",IF(AND(OR(R153="User",R153="Mixed"),J153&lt;&gt;""),IF(R153="Mixed","Mixed Reply","Verified User Reply"),"No Verified User Reply"))</x:f>
        <x:v>No Verified User Reply</x:v>
      </x:c>
      <x:c r="U153" s="32" t="str">
        <x:v>BATCH-VERIFY-30M</x:v>
      </x:c>
      <x:c r="V153" s="32" t="str">
        <x:f>D153&amp;"|"&amp;S153</x:f>
        <x:v>IC-0075|30m</x:v>
      </x:c>
      <x:c r="W153" s="32" t="str">
        <x:f>I153</x:f>
        <x:v>Visible</x:v>
      </x:c>
      <x:c r="X153" s="32" t="str">
        <x:f>R153</x:f>
        <x:v>None</x:v>
      </x:c>
      <x:c r="Y153" s="33" t="str">
        <x:f>T153</x:f>
        <x:v>No Verified User Reply</x:v>
      </x:c>
    </x:row>
    <x:row r="154">
      <x:c r="A154" s="49" t="n">
        <x:v>46227</x:v>
      </x:c>
      <x:c r="B154" s="32" t="str">
        <x:v>12:00</x:v>
      </x:c>
      <x:c r="C154" s="52" t="n">
        <x:v>46226</x:v>
      </x:c>
      <x:c r="D154" s="32" t="str">
        <x:v>IC-0075</x:v>
      </x:c>
      <x:c r="E154" s="32" t="str">
        <x:v>Account Slot 5</x:v>
      </x:c>
      <x:c r="F154" s="32" t="str">
        <x:v>https://video.invalid/case/V0075</x:v>
      </x:c>
      <x:c r="G154" s="32" t="str">
        <x:v>creator_case_075</x:v>
      </x:c>
      <x:c r="H154" s="32" t="str">
        <x:v>Pending</x:v>
      </x:c>
      <x:c r="I154" s="32" t="str">
        <x:v>Visible</x:v>
      </x:c>
      <x:c r="J154" s="32" t="str">
        <x:v>EVD-SYN-0075-24H</x:v>
      </x:c>
      <x:c r="K154" s="32" t="str">
        <x:v>24h verification</x:v>
      </x:c>
      <x:c r="L154" s="32" t="str">
        <x:v>None</x:v>
      </x:c>
      <x:c r="M154" s="32" t="str">
        <x:v>Pass</x:v>
      </x:c>
      <x:c r="N154" s="32" t="str">
        <x:v>คอเสื้อแบบนี้ช่วยให้ outfit ดูชัดโดยไม่ต้องแต่งเยอะค่ะ รายละเอียดเล็กตรงกระดุมแบบในรูปช่วยดึงสายตาให้ช่วงบนดูมีมิติมากขึ้นค่ะ</x:v>
      </x:c>
      <x:c r="O154" s="32" t="str">
        <x:v>คอเสื้อแบบนี้ช่วยให้ outfit ดูชัดโดยไม่ต้องแต่งเยอะค่ะ รายละเอียดเล็กตรงกระดุมแบบในรูปช่วยดึงสายตาให้ช่วงบนดูมีมิติมากขึ้นค่ะ</x:v>
      </x:c>
      <x:c r="P154" s="32" t="n">
        <x:v>0</x:v>
      </x:c>
      <x:c r="Q154" s="32" t="str"/>
      <x:c r="R154" s="32" t="str">
        <x:v>None</x:v>
      </x:c>
      <x:c r="S154" s="32" t="str">
        <x:v>24h</x:v>
      </x:c>
      <x:c r="T154" s="32" t="str">
        <x:f>IF(I154="Inconclusive","Inconclusive",IF(AND(OR(R154="User",R154="Mixed"),J154&lt;&gt;""),IF(R154="Mixed","Mixed Reply","Verified User Reply"),"No Verified User Reply"))</x:f>
        <x:v>No Verified User Reply</x:v>
      </x:c>
      <x:c r="U154" s="32" t="str">
        <x:v>BATCH-VERIFY-24H</x:v>
      </x:c>
      <x:c r="V154" s="32" t="str">
        <x:f>D154&amp;"|"&amp;S154</x:f>
        <x:v>IC-0075|24h</x:v>
      </x:c>
      <x:c r="W154" s="32" t="str">
        <x:f>I154</x:f>
        <x:v>Visible</x:v>
      </x:c>
      <x:c r="X154" s="32" t="str">
        <x:f>R154</x:f>
        <x:v>None</x:v>
      </x:c>
      <x:c r="Y154" s="33" t="str">
        <x:f>T154</x:f>
        <x:v>No Verified User Reply</x:v>
      </x:c>
    </x:row>
    <x:row r="155">
      <x:c r="A155" s="49" t="n">
        <x:v>46227</x:v>
      </x:c>
      <x:c r="B155" s="32" t="str">
        <x:v>12:30</x:v>
      </x:c>
      <x:c r="C155" s="52" t="n">
        <x:v>46227</x:v>
      </x:c>
      <x:c r="D155" s="32" t="str">
        <x:v>IC-0076</x:v>
      </x:c>
      <x:c r="E155" s="32" t="str">
        <x:v>Account Slot 6</x:v>
      </x:c>
      <x:c r="F155" s="32" t="str">
        <x:v>https://video.invalid/case/V0076</x:v>
      </x:c>
      <x:c r="G155" s="32" t="str">
        <x:v>creator_case_076</x:v>
      </x:c>
      <x:c r="H155" s="32" t="str">
        <x:v>Pending</x:v>
      </x:c>
      <x:c r="I155" s="32" t="str">
        <x:v>Visible</x:v>
      </x:c>
      <x:c r="J155" s="32" t="str">
        <x:v>EVD-SYN-0076-30M</x:v>
      </x:c>
      <x:c r="K155" s="32" t="str">
        <x:v>30m verification</x:v>
      </x:c>
      <x:c r="L155" s="32" t="str">
        <x:v>None</x:v>
      </x:c>
      <x:c r="M155" s="32" t="str">
        <x:v>Pass</x:v>
      </x:c>
      <x:c r="N155" s="32" t="str">
        <x:v>OOTD นี้คุมความเรียบกับความเก๋ได้พอดีเลย ถ้าเล่นลูกเล่นกระดุมดอกไม้เล็ก ๆ แบบในรูป ช่วงบนของลุคน่าจะเด่นขึ้นพอดีค่ะ</x:v>
      </x:c>
      <x:c r="O155" s="32" t="str">
        <x:v>OOTD นี้คุมความเรียบกับความเก๋ได้พอดีเลย ถ้าเล่นลูกเล่นกระดุมดอกไม้เล็ก ๆ แบบในรูป ช่วงบนของลุคน่าจะเด่นขึ้นพอดีค่ะ</x:v>
      </x:c>
      <x:c r="P155" s="32" t="n">
        <x:v>0</x:v>
      </x:c>
      <x:c r="Q155" s="32" t="str"/>
      <x:c r="R155" s="32" t="str">
        <x:v>None</x:v>
      </x:c>
      <x:c r="S155" s="32" t="str">
        <x:v>30m</x:v>
      </x:c>
      <x:c r="T155" s="32" t="str">
        <x:f>IF(I155="Inconclusive","Inconclusive",IF(AND(OR(R155="User",R155="Mixed"),J155&lt;&gt;""),IF(R155="Mixed","Mixed Reply","Verified User Reply"),"No Verified User Reply"))</x:f>
        <x:v>No Verified User Reply</x:v>
      </x:c>
      <x:c r="U155" s="32" t="str">
        <x:v>BATCH-VERIFY-30M</x:v>
      </x:c>
      <x:c r="V155" s="32" t="str">
        <x:f>D155&amp;"|"&amp;S155</x:f>
        <x:v>IC-0076|30m</x:v>
      </x:c>
      <x:c r="W155" s="32" t="str">
        <x:f>I155</x:f>
        <x:v>Visible</x:v>
      </x:c>
      <x:c r="X155" s="32" t="str">
        <x:f>R155</x:f>
        <x:v>None</x:v>
      </x:c>
      <x:c r="Y155" s="33" t="str">
        <x:f>T155</x:f>
        <x:v>No Verified User Reply</x:v>
      </x:c>
    </x:row>
    <x:row r="156">
      <x:c r="A156" s="49" t="n">
        <x:v>46228</x:v>
      </x:c>
      <x:c r="B156" s="32" t="str">
        <x:v>12:00</x:v>
      </x:c>
      <x:c r="C156" s="52" t="n">
        <x:v>46227</x:v>
      </x:c>
      <x:c r="D156" s="32" t="str">
        <x:v>IC-0076</x:v>
      </x:c>
      <x:c r="E156" s="32" t="str">
        <x:v>Account Slot 6</x:v>
      </x:c>
      <x:c r="F156" s="32" t="str">
        <x:v>https://video.invalid/case/V0076</x:v>
      </x:c>
      <x:c r="G156" s="32" t="str">
        <x:v>creator_case_076</x:v>
      </x:c>
      <x:c r="H156" s="32" t="str">
        <x:v>Pending</x:v>
      </x:c>
      <x:c r="I156" s="32" t="str">
        <x:v>Missing</x:v>
      </x:c>
      <x:c r="J156" s="32" t="str">
        <x:v>EVD-SYN-0076-24H</x:v>
      </x:c>
      <x:c r="K156" s="32" t="str">
        <x:v>24h verification</x:v>
      </x:c>
      <x:c r="L156" s="32" t="str">
        <x:v>None</x:v>
      </x:c>
      <x:c r="M156" s="32" t="str">
        <x:v>Pass</x:v>
      </x:c>
      <x:c r="N156" s="32" t="str">
        <x:v>OOTD นี้คุมความเรียบกับความเก๋ได้พอดีเลย ถ้าเล่นลูกเล่นกระดุมดอกไม้เล็ก ๆ แบบในรูป ช่วงบนของลุคน่าจะเด่นขึ้นพอดีค่ะ</x:v>
      </x:c>
      <x:c r="O156" s="32"/>
      <x:c r="P156" s="32" t="n">
        <x:v>0</x:v>
      </x:c>
      <x:c r="Q156" s="32" t="str"/>
      <x:c r="R156" s="32" t="str">
        <x:v>None</x:v>
      </x:c>
      <x:c r="S156" s="32" t="str">
        <x:v>24h</x:v>
      </x:c>
      <x:c r="T156" s="32" t="str">
        <x:f>IF(I156="Inconclusive","Inconclusive",IF(AND(OR(R156="User",R156="Mixed"),J156&lt;&gt;""),IF(R156="Mixed","Mixed Reply","Verified User Reply"),"No Verified User Reply"))</x:f>
        <x:v>No Verified User Reply</x:v>
      </x:c>
      <x:c r="U156" s="32" t="str">
        <x:v>BATCH-VERIFY-24H</x:v>
      </x:c>
      <x:c r="V156" s="32" t="str">
        <x:f>D156&amp;"|"&amp;S156</x:f>
        <x:v>IC-0076|24h</x:v>
      </x:c>
      <x:c r="W156" s="32" t="str">
        <x:f>I156</x:f>
        <x:v>Missing</x:v>
      </x:c>
      <x:c r="X156" s="32" t="str">
        <x:f>R156</x:f>
        <x:v>None</x:v>
      </x:c>
      <x:c r="Y156" s="33" t="str">
        <x:f>T156</x:f>
        <x:v>No Verified User Reply</x:v>
      </x:c>
    </x:row>
    <x:row r="157">
      <x:c r="A157" s="49" t="n">
        <x:v>46227</x:v>
      </x:c>
      <x:c r="B157" s="32" t="str">
        <x:v>12:30</x:v>
      </x:c>
      <x:c r="C157" s="52" t="n">
        <x:v>46227</x:v>
      </x:c>
      <x:c r="D157" s="32" t="str">
        <x:v>IC-0077</x:v>
      </x:c>
      <x:c r="E157" s="32" t="str">
        <x:v>Account Slot 7</x:v>
      </x:c>
      <x:c r="F157" s="32" t="str">
        <x:v>https://video.invalid/case/V0077</x:v>
      </x:c>
      <x:c r="G157" s="32" t="str">
        <x:v>creator_case_077</x:v>
      </x:c>
      <x:c r="H157" s="32" t="str">
        <x:v>Pending</x:v>
      </x:c>
      <x:c r="I157" s="32" t="str">
        <x:v>Visible</x:v>
      </x:c>
      <x:c r="J157" s="32" t="str">
        <x:v>EVD-SYN-0077-30M</x:v>
      </x:c>
      <x:c r="K157" s="32" t="str">
        <x:v>30m verification</x:v>
      </x:c>
      <x:c r="L157" s="32" t="str">
        <x:v>None</x:v>
      </x:c>
      <x:c r="M157" s="32" t="str">
        <x:v>Pass</x:v>
      </x:c>
      <x:c r="N157" s="32" t="str">
        <x:v>ภาพรวมของ office look นี้ดูตั้งใจแบบไม่เยอะเกินไปค่ะ พอมีตัวครอบกระดุมกับเข็มกลัดชิ้นเล็กแบบในรูป ภาพรวมก็ดู polished ขึ้นทันที</x:v>
      </x:c>
      <x:c r="O157" s="32" t="str">
        <x:v>ภาพรวมของ office look นี้ดูตั้งใจแบบไม่เยอะเกินไปค่ะ พอมีตัวครอบกระดุมกับเข็มกลัดชิ้นเล็กแบบในรูป ภาพรวมก็ดู polished ขึ้นทันที</x:v>
      </x:c>
      <x:c r="P157" s="32" t="n">
        <x:v>0</x:v>
      </x:c>
      <x:c r="Q157" s="32" t="str"/>
      <x:c r="R157" s="32" t="str">
        <x:v>None</x:v>
      </x:c>
      <x:c r="S157" s="32" t="str">
        <x:v>30m</x:v>
      </x:c>
      <x:c r="T157" s="32" t="str">
        <x:f>IF(I157="Inconclusive","Inconclusive",IF(AND(OR(R157="User",R157="Mixed"),J157&lt;&gt;""),IF(R157="Mixed","Mixed Reply","Verified User Reply"),"No Verified User Reply"))</x:f>
        <x:v>No Verified User Reply</x:v>
      </x:c>
      <x:c r="U157" s="32" t="str">
        <x:v>BATCH-VERIFY-30M</x:v>
      </x:c>
      <x:c r="V157" s="32" t="str">
        <x:f>D157&amp;"|"&amp;S157</x:f>
        <x:v>IC-0077|30m</x:v>
      </x:c>
      <x:c r="W157" s="32" t="str">
        <x:f>I157</x:f>
        <x:v>Visible</x:v>
      </x:c>
      <x:c r="X157" s="32" t="str">
        <x:f>R157</x:f>
        <x:v>None</x:v>
      </x:c>
      <x:c r="Y157" s="33" t="str">
        <x:f>T157</x:f>
        <x:v>No Verified User Reply</x:v>
      </x:c>
    </x:row>
    <x:row r="158">
      <x:c r="A158" s="49" t="n">
        <x:v>46228</x:v>
      </x:c>
      <x:c r="B158" s="32" t="str">
        <x:v>12:00</x:v>
      </x:c>
      <x:c r="C158" s="52" t="n">
        <x:v>46227</x:v>
      </x:c>
      <x:c r="D158" s="32" t="str">
        <x:v>IC-0077</x:v>
      </x:c>
      <x:c r="E158" s="32" t="str">
        <x:v>Account Slot 7</x:v>
      </x:c>
      <x:c r="F158" s="32" t="str">
        <x:v>https://video.invalid/case/V0077</x:v>
      </x:c>
      <x:c r="G158" s="32" t="str">
        <x:v>creator_case_077</x:v>
      </x:c>
      <x:c r="H158" s="32" t="str">
        <x:v>Pending</x:v>
      </x:c>
      <x:c r="I158" s="32" t="str">
        <x:v>Visible</x:v>
      </x:c>
      <x:c r="J158" s="32" t="str">
        <x:v>EVD-SYN-0077-24H</x:v>
      </x:c>
      <x:c r="K158" s="32" t="str">
        <x:v>24h verification</x:v>
      </x:c>
      <x:c r="L158" s="32" t="str">
        <x:v>None</x:v>
      </x:c>
      <x:c r="M158" s="32" t="str">
        <x:v>Pass</x:v>
      </x:c>
      <x:c r="N158" s="32" t="str">
        <x:v>ภาพรวมของ office look นี้ดูตั้งใจแบบไม่เยอะเกินไปค่ะ พอมีตัวครอบกระดุมกับเข็มกลัดชิ้นเล็กแบบในรูป ภาพรวมก็ดู polished ขึ้นทันที</x:v>
      </x:c>
      <x:c r="O158" s="32" t="str">
        <x:v>ภาพรวมของ office look นี้ดูตั้งใจแบบไม่เยอะเกินไปค่ะ พอมีตัวครอบกระดุมกับเข็มกลัดชิ้นเล็กแบบในรูป ภาพรวมก็ดู polished ขึ้นทันที</x:v>
      </x:c>
      <x:c r="P158" s="32" t="n">
        <x:v>0</x:v>
      </x:c>
      <x:c r="Q158" s="32" t="str"/>
      <x:c r="R158" s="32" t="str">
        <x:v>None</x:v>
      </x:c>
      <x:c r="S158" s="32" t="str">
        <x:v>24h</x:v>
      </x:c>
      <x:c r="T158" s="32" t="str">
        <x:f>IF(I158="Inconclusive","Inconclusive",IF(AND(OR(R158="User",R158="Mixed"),J158&lt;&gt;""),IF(R158="Mixed","Mixed Reply","Verified User Reply"),"No Verified User Reply"))</x:f>
        <x:v>No Verified User Reply</x:v>
      </x:c>
      <x:c r="U158" s="32" t="str">
        <x:v>BATCH-VERIFY-24H</x:v>
      </x:c>
      <x:c r="V158" s="32" t="str">
        <x:f>D158&amp;"|"&amp;S158</x:f>
        <x:v>IC-0077|24h</x:v>
      </x:c>
      <x:c r="W158" s="32" t="str">
        <x:f>I158</x:f>
        <x:v>Visible</x:v>
      </x:c>
      <x:c r="X158" s="32" t="str">
        <x:f>R158</x:f>
        <x:v>None</x:v>
      </x:c>
      <x:c r="Y158" s="33" t="str">
        <x:f>T158</x:f>
        <x:v>No Verified User Reply</x:v>
      </x:c>
    </x:row>
    <x:row r="159">
      <x:c r="A159" s="49" t="n">
        <x:v>46227</x:v>
      </x:c>
      <x:c r="B159" s="32" t="str">
        <x:v>12:30</x:v>
      </x:c>
      <x:c r="C159" s="52" t="n">
        <x:v>46227</x:v>
      </x:c>
      <x:c r="D159" s="32" t="str">
        <x:v>IC-0078</x:v>
      </x:c>
      <x:c r="E159" s="32" t="str">
        <x:v>Account Slot 8</x:v>
      </x:c>
      <x:c r="F159" s="32" t="str">
        <x:v>https://video.invalid/case/V0078</x:v>
      </x:c>
      <x:c r="G159" s="32" t="str">
        <x:v>creator_case_078</x:v>
      </x:c>
      <x:c r="H159" s="32" t="str">
        <x:v>Pending</x:v>
      </x:c>
      <x:c r="I159" s="32" t="str">
        <x:v>Visible</x:v>
      </x:c>
      <x:c r="J159" s="32" t="str">
        <x:v>EVD-SYN-0078-30M</x:v>
      </x:c>
      <x:c r="K159" s="32" t="str">
        <x:v>30m verification</x:v>
      </x:c>
      <x:c r="L159" s="32" t="str">
        <x:v>None</x:v>
      </x:c>
      <x:c r="M159" s="32" t="str">
        <x:v>Pass</x:v>
      </x:c>
      <x:c r="N159" s="32" t="str">
        <x:v>ภาพรวมของ office look นี้ดูตั้งใจแบบไม่เยอะเกินไปค่ะ ถ้าอยากให้ลุคดูเด่นขึ้น ลองเติมดีเทลบนปกหรือแนวเสื้อแบบในรูปดูค่ะ</x:v>
      </x:c>
      <x:c r="O159" s="32" t="str">
        <x:v>ภาพรวมของ office look นี้ดูตั้งใจแบบไม่เยอะเกินไปค่ะ ถ้าอยากให้ลุคดูเด่นขึ้น ลองเติมดีเทลบนปกหรือแนวเสื้อแบบในรูปดูค่ะ</x:v>
      </x:c>
      <x:c r="P159" s="32" t="n">
        <x:v>1</x:v>
      </x:c>
      <x:c r="Q159" s="32" t="str">
        <x:v>Synthetic reply preview</x:v>
      </x:c>
      <x:c r="R159" s="32" t="str">
        <x:v>User</x:v>
      </x:c>
      <x:c r="S159" s="32" t="str">
        <x:v>30m</x:v>
      </x:c>
      <x:c r="T159" s="32" t="str">
        <x:f>IF(I159="Inconclusive","Inconclusive",IF(AND(OR(R159="User",R159="Mixed"),J159&lt;&gt;""),IF(R159="Mixed","Mixed Reply","Verified User Reply"),"No Verified User Reply"))</x:f>
        <x:v>Verified User Reply</x:v>
      </x:c>
      <x:c r="U159" s="32" t="str">
        <x:v>BATCH-VERIFY-30M</x:v>
      </x:c>
      <x:c r="V159" s="32" t="str">
        <x:f>D159&amp;"|"&amp;S159</x:f>
        <x:v>IC-0078|30m</x:v>
      </x:c>
      <x:c r="W159" s="32" t="str">
        <x:f>I159</x:f>
        <x:v>Visible</x:v>
      </x:c>
      <x:c r="X159" s="32" t="str">
        <x:f>R159</x:f>
        <x:v>User</x:v>
      </x:c>
      <x:c r="Y159" s="33" t="str">
        <x:f>T159</x:f>
        <x:v>Verified User Reply</x:v>
      </x:c>
    </x:row>
    <x:row r="160">
      <x:c r="A160" s="49" t="n">
        <x:v>46228</x:v>
      </x:c>
      <x:c r="B160" s="32" t="str">
        <x:v>12:00</x:v>
      </x:c>
      <x:c r="C160" s="52" t="n">
        <x:v>46227</x:v>
      </x:c>
      <x:c r="D160" s="32" t="str">
        <x:v>IC-0078</x:v>
      </x:c>
      <x:c r="E160" s="32" t="str">
        <x:v>Account Slot 8</x:v>
      </x:c>
      <x:c r="F160" s="32" t="str">
        <x:v>https://video.invalid/case/V0078</x:v>
      </x:c>
      <x:c r="G160" s="32" t="str">
        <x:v>creator_case_078</x:v>
      </x:c>
      <x:c r="H160" s="32" t="str">
        <x:v>Pending</x:v>
      </x:c>
      <x:c r="I160" s="32" t="str">
        <x:v>Visible</x:v>
      </x:c>
      <x:c r="J160" s="32" t="str">
        <x:v>EVD-SYN-0078-24H</x:v>
      </x:c>
      <x:c r="K160" s="32" t="str">
        <x:v>24h verification</x:v>
      </x:c>
      <x:c r="L160" s="32" t="str">
        <x:v>None</x:v>
      </x:c>
      <x:c r="M160" s="32" t="str">
        <x:v>Pass</x:v>
      </x:c>
      <x:c r="N160" s="32" t="str">
        <x:v>ภาพรวมของ office look นี้ดูตั้งใจแบบไม่เยอะเกินไปค่ะ ถ้าอยากให้ลุคดูเด่นขึ้น ลองเติมดีเทลบนปกหรือแนวเสื้อแบบในรูปดูค่ะ</x:v>
      </x:c>
      <x:c r="O160" s="32" t="str">
        <x:v>ภาพรวมของ office look นี้ดูตั้งใจแบบไม่เยอะเกินไปค่ะ ถ้าอยากให้ลุคดูเด่นขึ้น ลองเติมดีเทลบนปกหรือแนวเสื้อแบบในรูปดูค่ะ</x:v>
      </x:c>
      <x:c r="P160" s="32" t="n">
        <x:v>1</x:v>
      </x:c>
      <x:c r="Q160" s="32" t="str">
        <x:v>Synthetic reply preview</x:v>
      </x:c>
      <x:c r="R160" s="32" t="str">
        <x:v>User</x:v>
      </x:c>
      <x:c r="S160" s="32" t="str">
        <x:v>24h</x:v>
      </x:c>
      <x:c r="T160" s="32" t="str">
        <x:f>IF(I160="Inconclusive","Inconclusive",IF(AND(OR(R160="User",R160="Mixed"),J160&lt;&gt;""),IF(R160="Mixed","Mixed Reply","Verified User Reply"),"No Verified User Reply"))</x:f>
        <x:v>Verified User Reply</x:v>
      </x:c>
      <x:c r="U160" s="32" t="str">
        <x:v>BATCH-VERIFY-24H</x:v>
      </x:c>
      <x:c r="V160" s="32" t="str">
        <x:f>D160&amp;"|"&amp;S160</x:f>
        <x:v>IC-0078|24h</x:v>
      </x:c>
      <x:c r="W160" s="32" t="str">
        <x:f>I160</x:f>
        <x:v>Visible</x:v>
      </x:c>
      <x:c r="X160" s="32" t="str">
        <x:f>R160</x:f>
        <x:v>User</x:v>
      </x:c>
      <x:c r="Y160" s="33" t="str">
        <x:f>T160</x:f>
        <x:v>Verified User Reply</x:v>
      </x:c>
    </x:row>
    <x:row r="161">
      <x:c r="A161" s="49" t="n">
        <x:v>46227</x:v>
      </x:c>
      <x:c r="B161" s="32" t="str">
        <x:v>12:30</x:v>
      </x:c>
      <x:c r="C161" s="52" t="n">
        <x:v>46227</x:v>
      </x:c>
      <x:c r="D161" s="32" t="str">
        <x:v>IC-0079</x:v>
      </x:c>
      <x:c r="E161" s="32" t="str">
        <x:v>Account Slot 9</x:v>
      </x:c>
      <x:c r="F161" s="32" t="str">
        <x:v>https://video.invalid/case/V0079</x:v>
      </x:c>
      <x:c r="G161" s="32" t="str">
        <x:v>creator_case_079</x:v>
      </x:c>
      <x:c r="H161" s="32" t="str">
        <x:v>Pending</x:v>
      </x:c>
      <x:c r="I161" s="32" t="str">
        <x:v>Visible</x:v>
      </x:c>
      <x:c r="J161" s="32" t="str">
        <x:v>EVD-SYN-0079-30M</x:v>
      </x:c>
      <x:c r="K161" s="32" t="str">
        <x:v>30m verification</x:v>
      </x:c>
      <x:c r="L161" s="32" t="str">
        <x:v>None</x:v>
      </x:c>
      <x:c r="M161" s="32" t="str">
        <x:v>Pass</x:v>
      </x:c>
      <x:c r="N161" s="32" t="str">
        <x:v>เบลเซอร์ลุคนี้ดูโปรและคุมโทนได้ดีมากค่ะ จุดเด่นเล็ก ๆ บนเบลเซอร์แบบในรูปทำให้ลุคโทนเข้มดูแพงขึ้นโดยไม่เยอะเกินไป</x:v>
      </x:c>
      <x:c r="O161" s="32" t="str">
        <x:v>เบลเซอร์ลุคนี้ดูโปรและคุมโทนได้ดีมากค่ะ จุดเด่นเล็ก ๆ บนเบลเซอร์แบบในรูปทำให้ลุคโทนเข้มดูแพงขึ้นโดยไม่เยอะเกินไป</x:v>
      </x:c>
      <x:c r="P161" s="32" t="n">
        <x:v>2</x:v>
      </x:c>
      <x:c r="Q161" s="32" t="str">
        <x:v>Synthetic reply preview</x:v>
      </x:c>
      <x:c r="R161" s="32" t="str">
        <x:v>Mixed</x:v>
      </x:c>
      <x:c r="S161" s="32" t="str">
        <x:v>30m</x:v>
      </x:c>
      <x:c r="T161" s="32" t="str">
        <x:f>IF(I161="Inconclusive","Inconclusive",IF(AND(OR(R161="User",R161="Mixed"),J161&lt;&gt;""),IF(R161="Mixed","Mixed Reply","Verified User Reply"),"No Verified User Reply"))</x:f>
        <x:v>Mixed Reply</x:v>
      </x:c>
      <x:c r="U161" s="32" t="str">
        <x:v>BATCH-VERIFY-30M</x:v>
      </x:c>
      <x:c r="V161" s="32" t="str">
        <x:f>D161&amp;"|"&amp;S161</x:f>
        <x:v>IC-0079|30m</x:v>
      </x:c>
      <x:c r="W161" s="32" t="str">
        <x:f>I161</x:f>
        <x:v>Visible</x:v>
      </x:c>
      <x:c r="X161" s="32" t="str">
        <x:f>R161</x:f>
        <x:v>Mixed</x:v>
      </x:c>
      <x:c r="Y161" s="33" t="str">
        <x:f>T161</x:f>
        <x:v>Mixed Reply</x:v>
      </x:c>
    </x:row>
    <x:row r="162">
      <x:c r="A162" s="49" t="n">
        <x:v>46228</x:v>
      </x:c>
      <x:c r="B162" s="32" t="str">
        <x:v>12:00</x:v>
      </x:c>
      <x:c r="C162" s="52" t="n">
        <x:v>46227</x:v>
      </x:c>
      <x:c r="D162" s="32" t="str">
        <x:v>IC-0079</x:v>
      </x:c>
      <x:c r="E162" s="32" t="str">
        <x:v>Account Slot 9</x:v>
      </x:c>
      <x:c r="F162" s="32" t="str">
        <x:v>https://video.invalid/case/V0079</x:v>
      </x:c>
      <x:c r="G162" s="32" t="str">
        <x:v>creator_case_079</x:v>
      </x:c>
      <x:c r="H162" s="32" t="str">
        <x:v>Pending</x:v>
      </x:c>
      <x:c r="I162" s="32" t="str">
        <x:v>Visible</x:v>
      </x:c>
      <x:c r="J162" s="32" t="str">
        <x:v>EVD-SYN-0079-24H</x:v>
      </x:c>
      <x:c r="K162" s="32" t="str">
        <x:v>24h verification</x:v>
      </x:c>
      <x:c r="L162" s="32" t="str">
        <x:v>None</x:v>
      </x:c>
      <x:c r="M162" s="32" t="str">
        <x:v>Pass</x:v>
      </x:c>
      <x:c r="N162" s="32" t="str">
        <x:v>เบลเซอร์ลุคนี้ดูโปรและคุมโทนได้ดีมากค่ะ จุดเด่นเล็ก ๆ บนเบลเซอร์แบบในรูปทำให้ลุคโทนเข้มดูแพงขึ้นโดยไม่เยอะเกินไป</x:v>
      </x:c>
      <x:c r="O162" s="32" t="str">
        <x:v>เบลเซอร์ลุคนี้ดูโปรและคุมโทนได้ดีมากค่ะ จุดเด่นเล็ก ๆ บนเบลเซอร์แบบในรูปทำให้ลุคโทนเข้มดูแพงขึ้นโดยไม่เยอะเกินไป</x:v>
      </x:c>
      <x:c r="P162" s="32" t="n">
        <x:v>2</x:v>
      </x:c>
      <x:c r="Q162" s="32" t="str">
        <x:v>Synthetic reply preview</x:v>
      </x:c>
      <x:c r="R162" s="32" t="str">
        <x:v>Mixed</x:v>
      </x:c>
      <x:c r="S162" s="32" t="str">
        <x:v>24h</x:v>
      </x:c>
      <x:c r="T162" s="32" t="str">
        <x:f>IF(I162="Inconclusive","Inconclusive",IF(AND(OR(R162="User",R162="Mixed"),J162&lt;&gt;""),IF(R162="Mixed","Mixed Reply","Verified User Reply"),"No Verified User Reply"))</x:f>
        <x:v>Mixed Reply</x:v>
      </x:c>
      <x:c r="U162" s="32" t="str">
        <x:v>BATCH-VERIFY-24H</x:v>
      </x:c>
      <x:c r="V162" s="32" t="str">
        <x:f>D162&amp;"|"&amp;S162</x:f>
        <x:v>IC-0079|24h</x:v>
      </x:c>
      <x:c r="W162" s="32" t="str">
        <x:f>I162</x:f>
        <x:v>Visible</x:v>
      </x:c>
      <x:c r="X162" s="32" t="str">
        <x:f>R162</x:f>
        <x:v>Mixed</x:v>
      </x:c>
      <x:c r="Y162" s="33" t="str">
        <x:f>T162</x:f>
        <x:v>Mixed Reply</x:v>
      </x:c>
    </x:row>
    <x:row r="163">
      <x:c r="A163" s="49" t="n">
        <x:v>46227</x:v>
      </x:c>
      <x:c r="B163" s="32" t="str">
        <x:v>12:30</x:v>
      </x:c>
      <x:c r="C163" s="52" t="n">
        <x:v>46227</x:v>
      </x:c>
      <x:c r="D163" s="32" t="str">
        <x:v>IC-0080</x:v>
      </x:c>
      <x:c r="E163" s="32" t="str">
        <x:v>Account Slot 10</x:v>
      </x:c>
      <x:c r="F163" s="32" t="str">
        <x:v>https://video.invalid/case/V0080</x:v>
      </x:c>
      <x:c r="G163" s="32" t="str">
        <x:v>creator_case_080</x:v>
      </x:c>
      <x:c r="H163" s="32" t="str">
        <x:v>Pending</x:v>
      </x:c>
      <x:c r="I163" s="32" t="str">
        <x:v>Visible</x:v>
      </x:c>
      <x:c r="J163" s="32" t="str">
        <x:v>EVD-SYN-0080-30M</x:v>
      </x:c>
      <x:c r="K163" s="32" t="str">
        <x:v>30m verification</x:v>
      </x:c>
      <x:c r="L163" s="32" t="str">
        <x:v>None</x:v>
      </x:c>
      <x:c r="M163" s="32" t="str">
        <x:v>Pass</x:v>
      </x:c>
      <x:c r="N163" s="32" t="str">
        <x:v>เสื้อเรียบแบบนี้เป็นเบสที่แต่งสนุกมากค่ะ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O163" s="32" t="str">
        <x:v>เสื้อเรียบแบบนี้เป็นเบสที่แต่งสนุกมากค่ะ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P163" s="32" t="n">
        <x:v>0</x:v>
      </x:c>
      <x:c r="Q163" s="32" t="str"/>
      <x:c r="R163" s="32" t="str">
        <x:v>None</x:v>
      </x:c>
      <x:c r="S163" s="32" t="str">
        <x:v>30m</x:v>
      </x:c>
      <x:c r="T163" s="32" t="str">
        <x:f>IF(I163="Inconclusive","Inconclusive",IF(AND(OR(R163="User",R163="Mixed"),J163&lt;&gt;""),IF(R163="Mixed","Mixed Reply","Verified User Reply"),"No Verified User Reply"))</x:f>
        <x:v>No Verified User Reply</x:v>
      </x:c>
      <x:c r="U163" s="32" t="str">
        <x:v>BATCH-VERIFY-30M</x:v>
      </x:c>
      <x:c r="V163" s="32" t="str">
        <x:f>D163&amp;"|"&amp;S163</x:f>
        <x:v>IC-0080|30m</x:v>
      </x:c>
      <x:c r="W163" s="32" t="str">
        <x:f>I163</x:f>
        <x:v>Visible</x:v>
      </x:c>
      <x:c r="X163" s="32" t="str">
        <x:f>R163</x:f>
        <x:v>None</x:v>
      </x:c>
      <x:c r="Y163" s="33" t="str">
        <x:f>T163</x:f>
        <x:v>No Verified User Reply</x:v>
      </x:c>
    </x:row>
    <x:row r="164">
      <x:c r="A164" s="49" t="n">
        <x:v>46228</x:v>
      </x:c>
      <x:c r="B164" s="32" t="str">
        <x:v>12:00</x:v>
      </x:c>
      <x:c r="C164" s="52" t="n">
        <x:v>46227</x:v>
      </x:c>
      <x:c r="D164" s="32" t="str">
        <x:v>IC-0080</x:v>
      </x:c>
      <x:c r="E164" s="32" t="str">
        <x:v>Account Slot 10</x:v>
      </x:c>
      <x:c r="F164" s="32" t="str">
        <x:v>https://video.invalid/case/V0080</x:v>
      </x:c>
      <x:c r="G164" s="32" t="str">
        <x:v>creator_case_080</x:v>
      </x:c>
      <x:c r="H164" s="32" t="str">
        <x:v>Pending</x:v>
      </x:c>
      <x:c r="I164" s="32" t="str">
        <x:v>Visible</x:v>
      </x:c>
      <x:c r="J164" s="32" t="str">
        <x:v>EVD-SYN-0080-24H</x:v>
      </x:c>
      <x:c r="K164" s="32" t="str">
        <x:v>24h verification</x:v>
      </x:c>
      <x:c r="L164" s="32" t="str">
        <x:v>None</x:v>
      </x:c>
      <x:c r="M164" s="32" t="str">
        <x:v>Pass</x:v>
      </x:c>
      <x:c r="N164" s="32" t="str">
        <x:v>เสื้อเรียบแบบนี้เป็นเบสที่แต่งสนุกมากค่ะ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O164" s="32" t="str">
        <x:v>เสื้อเรียบแบบนี้เป็นเบสที่แต่งสนุกมากค่ะ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P164" s="32" t="n">
        <x:v>0</x:v>
      </x:c>
      <x:c r="Q164" s="32" t="str"/>
      <x:c r="R164" s="32" t="str">
        <x:v>None</x:v>
      </x:c>
      <x:c r="S164" s="32" t="str">
        <x:v>24h</x:v>
      </x:c>
      <x:c r="T164" s="32" t="str">
        <x:f>IF(I164="Inconclusive","Inconclusive",IF(AND(OR(R164="User",R164="Mixed"),J164&lt;&gt;""),IF(R164="Mixed","Mixed Reply","Verified User Reply"),"No Verified User Reply"))</x:f>
        <x:v>No Verified User Reply</x:v>
      </x:c>
      <x:c r="U164" s="32" t="str">
        <x:v>BATCH-VERIFY-24H</x:v>
      </x:c>
      <x:c r="V164" s="32" t="str">
        <x:f>D164&amp;"|"&amp;S164</x:f>
        <x:v>IC-0080|24h</x:v>
      </x:c>
      <x:c r="W164" s="32" t="str">
        <x:f>I164</x:f>
        <x:v>Visible</x:v>
      </x:c>
      <x:c r="X164" s="32" t="str">
        <x:f>R164</x:f>
        <x:v>None</x:v>
      </x:c>
      <x:c r="Y164" s="33" t="str">
        <x:f>T164</x:f>
        <x:v>No Verified User Reply</x:v>
      </x:c>
    </x:row>
    <x:row r="165">
      <x:c r="A165" s="49" t="n">
        <x:v>46227</x:v>
      </x:c>
      <x:c r="B165" s="32" t="str">
        <x:v>12:30</x:v>
      </x:c>
      <x:c r="C165" s="52" t="n">
        <x:v>46227</x:v>
      </x:c>
      <x:c r="D165" s="32" t="str">
        <x:v>IC-0081</x:v>
      </x:c>
      <x:c r="E165" s="32" t="str">
        <x:v>Account Slot 1</x:v>
      </x:c>
      <x:c r="F165" s="32" t="str">
        <x:v>https://video.invalid/case/V0081</x:v>
      </x:c>
      <x:c r="G165" s="32" t="str">
        <x:v>creator_case_081</x:v>
      </x:c>
      <x:c r="H165" s="32" t="str">
        <x:v>Pending</x:v>
      </x:c>
      <x:c r="I165" s="32" t="str">
        <x:v>Visible</x:v>
      </x:c>
      <x:c r="J165" s="32" t="str">
        <x:v>EVD-SYN-0081-30M</x:v>
      </x:c>
      <x:c r="K165" s="32" t="str">
        <x:v>30m verification</x:v>
      </x:c>
      <x:c r="L165" s="32" t="str">
        <x:v>None</x:v>
      </x:c>
      <x:c r="M165" s="32" t="str">
        <x:v>Pass</x:v>
      </x:c>
      <x:c r="N165" s="32" t="str">
        <x:v>เชิ้ตตัวนี้ให้มู้ดสุภาพแต่ยังดูทันสมัยอยู่ค่ะ ดีเทลคอเสื้อกับปลายแขนแบบในรูปช่วยเปลี่ยนเสื้อตัวเดิมให้ดูพิเศษขึ้นพอดี</x:v>
      </x:c>
      <x:c r="O165" s="32" t="str">
        <x:v>เชิ้ตตัวนี้ให้มู้ดสุภาพแต่ยังดูทันสมัยอยู่ค่ะ ดีเทลคอเสื้อกับปลายแขนแบบในรูปช่วยเปลี่ยนเสื้อตัวเดิมให้ดูพิเศษขึ้นพอดี</x:v>
      </x:c>
      <x:c r="P165" s="32" t="n">
        <x:v>0</x:v>
      </x:c>
      <x:c r="Q165" s="32" t="str"/>
      <x:c r="R165" s="32" t="str">
        <x:v>None</x:v>
      </x:c>
      <x:c r="S165" s="32" t="str">
        <x:v>30m</x:v>
      </x:c>
      <x:c r="T165" s="32" t="str">
        <x:f>IF(I165="Inconclusive","Inconclusive",IF(AND(OR(R165="User",R165="Mixed"),J165&lt;&gt;""),IF(R165="Mixed","Mixed Reply","Verified User Reply"),"No Verified User Reply"))</x:f>
        <x:v>No Verified User Reply</x:v>
      </x:c>
      <x:c r="U165" s="32" t="str">
        <x:v>BATCH-VERIFY-30M</x:v>
      </x:c>
      <x:c r="V165" s="32" t="str">
        <x:f>D165&amp;"|"&amp;S165</x:f>
        <x:v>IC-0081|30m</x:v>
      </x:c>
      <x:c r="W165" s="32" t="str">
        <x:f>I165</x:f>
        <x:v>Visible</x:v>
      </x:c>
      <x:c r="X165" s="32" t="str">
        <x:f>R165</x:f>
        <x:v>None</x:v>
      </x:c>
      <x:c r="Y165" s="33" t="str">
        <x:f>T165</x:f>
        <x:v>No Verified User Reply</x:v>
      </x:c>
    </x:row>
    <x:row r="166">
      <x:c r="A166" s="49" t="n">
        <x:v>46228</x:v>
      </x:c>
      <x:c r="B166" s="32" t="str">
        <x:v>12:00</x:v>
      </x:c>
      <x:c r="C166" s="52" t="n">
        <x:v>46227</x:v>
      </x:c>
      <x:c r="D166" s="32" t="str">
        <x:v>IC-0081</x:v>
      </x:c>
      <x:c r="E166" s="32" t="str">
        <x:v>Account Slot 1</x:v>
      </x:c>
      <x:c r="F166" s="32" t="str">
        <x:v>https://video.invalid/case/V0081</x:v>
      </x:c>
      <x:c r="G166" s="32" t="str">
        <x:v>creator_case_081</x:v>
      </x:c>
      <x:c r="H166" s="32" t="str">
        <x:v>Pending</x:v>
      </x:c>
      <x:c r="I166" s="32" t="str">
        <x:v>Missing</x:v>
      </x:c>
      <x:c r="J166" s="32" t="str">
        <x:v>EVD-SYN-0081-24H</x:v>
      </x:c>
      <x:c r="K166" s="32" t="str">
        <x:v>24h verification</x:v>
      </x:c>
      <x:c r="L166" s="32" t="str">
        <x:v>None</x:v>
      </x:c>
      <x:c r="M166" s="32" t="str">
        <x:v>Pass</x:v>
      </x:c>
      <x:c r="N166" s="32" t="str">
        <x:v>เชิ้ตตัวนี้ให้มู้ดสุภาพแต่ยังดูทันสมัยอยู่ค่ะ ดีเทลคอเสื้อกับปลายแขนแบบในรูปช่วยเปลี่ยนเสื้อตัวเดิมให้ดูพิเศษขึ้นพอดี</x:v>
      </x:c>
      <x:c r="O166" s="32"/>
      <x:c r="P166" s="32" t="n">
        <x:v>0</x:v>
      </x:c>
      <x:c r="Q166" s="32" t="str"/>
      <x:c r="R166" s="32" t="str">
        <x:v>None</x:v>
      </x:c>
      <x:c r="S166" s="32" t="str">
        <x:v>24h</x:v>
      </x:c>
      <x:c r="T166" s="32" t="str">
        <x:f>IF(I166="Inconclusive","Inconclusive",IF(AND(OR(R166="User",R166="Mixed"),J166&lt;&gt;""),IF(R166="Mixed","Mixed Reply","Verified User Reply"),"No Verified User Reply"))</x:f>
        <x:v>No Verified User Reply</x:v>
      </x:c>
      <x:c r="U166" s="32" t="str">
        <x:v>BATCH-VERIFY-24H</x:v>
      </x:c>
      <x:c r="V166" s="32" t="str">
        <x:f>D166&amp;"|"&amp;S166</x:f>
        <x:v>IC-0081|24h</x:v>
      </x:c>
      <x:c r="W166" s="32" t="str">
        <x:f>I166</x:f>
        <x:v>Missing</x:v>
      </x:c>
      <x:c r="X166" s="32" t="str">
        <x:f>R166</x:f>
        <x:v>None</x:v>
      </x:c>
      <x:c r="Y166" s="33" t="str">
        <x:f>T166</x:f>
        <x:v>No Verified User Reply</x:v>
      </x:c>
    </x:row>
    <x:row r="167">
      <x:c r="A167" s="49" t="n">
        <x:v>46227</x:v>
      </x:c>
      <x:c r="B167" s="32" t="str">
        <x:v>12:30</x:v>
      </x:c>
      <x:c r="C167" s="52" t="n">
        <x:v>46227</x:v>
      </x:c>
      <x:c r="D167" s="32" t="str">
        <x:v>IC-0082</x:v>
      </x:c>
      <x:c r="E167" s="32" t="str">
        <x:v>Account Slot 2</x:v>
      </x:c>
      <x:c r="F167" s="32" t="str">
        <x:v>https://video.invalid/case/V0082</x:v>
      </x:c>
      <x:c r="G167" s="32" t="str">
        <x:v>creator_case_082</x:v>
      </x:c>
      <x:c r="H167" s="32" t="str">
        <x:v>Pending</x:v>
      </x:c>
      <x:c r="I167" s="32" t="str">
        <x:v>Missing</x:v>
      </x:c>
      <x:c r="J167" s="32" t="str">
        <x:v>EVD-SYN-0082-30M</x:v>
      </x:c>
      <x:c r="K167" s="32" t="str">
        <x:v>30m verification</x:v>
      </x:c>
      <x:c r="L167" s="32" t="str">
        <x:v>None</x:v>
      </x:c>
      <x:c r="M167" s="32" t="str">
        <x:v>Pass</x:v>
      </x:c>
      <x:c r="N167" s="32" t="str">
        <x:v>ทรงเชิ้ตช่วยให้ลุคดูเนี้ยบแบบไม่เป็นทางการเกินไปค่ะ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167" s="32"/>
      <x:c r="P167" s="32" t="n">
        <x:v>0</x:v>
      </x:c>
      <x:c r="Q167" s="32" t="str"/>
      <x:c r="R167" s="32" t="str">
        <x:v>None</x:v>
      </x:c>
      <x:c r="S167" s="32" t="str">
        <x:v>30m</x:v>
      </x:c>
      <x:c r="T167" s="32" t="str">
        <x:f>IF(I167="Inconclusive","Inconclusive",IF(AND(OR(R167="User",R167="Mixed"),J167&lt;&gt;""),IF(R167="Mixed","Mixed Reply","Verified User Reply"),"No Verified User Reply"))</x:f>
        <x:v>No Verified User Reply</x:v>
      </x:c>
      <x:c r="U167" s="32" t="str">
        <x:v>BATCH-VERIFY-30M</x:v>
      </x:c>
      <x:c r="V167" s="32" t="str">
        <x:f>D167&amp;"|"&amp;S167</x:f>
        <x:v>IC-0082|30m</x:v>
      </x:c>
      <x:c r="W167" s="32" t="str">
        <x:f>I167</x:f>
        <x:v>Missing</x:v>
      </x:c>
      <x:c r="X167" s="32" t="str">
        <x:f>R167</x:f>
        <x:v>None</x:v>
      </x:c>
      <x:c r="Y167" s="33" t="str">
        <x:f>T167</x:f>
        <x:v>No Verified User Reply</x:v>
      </x:c>
    </x:row>
    <x:row r="168">
      <x:c r="A168" s="49" t="n">
        <x:v>46228</x:v>
      </x:c>
      <x:c r="B168" s="32" t="str">
        <x:v>12:00</x:v>
      </x:c>
      <x:c r="C168" s="52" t="n">
        <x:v>46227</x:v>
      </x:c>
      <x:c r="D168" s="32" t="str">
        <x:v>IC-0082</x:v>
      </x:c>
      <x:c r="E168" s="32" t="str">
        <x:v>Account Slot 2</x:v>
      </x:c>
      <x:c r="F168" s="32" t="str">
        <x:v>https://video.invalid/case/V0082</x:v>
      </x:c>
      <x:c r="G168" s="32" t="str">
        <x:v>creator_case_082</x:v>
      </x:c>
      <x:c r="H168" s="32" t="str">
        <x:v>Pending</x:v>
      </x:c>
      <x:c r="I168" s="32" t="str">
        <x:v>Visible</x:v>
      </x:c>
      <x:c r="J168" s="32" t="str">
        <x:v>EVD-SYN-0082-24H</x:v>
      </x:c>
      <x:c r="K168" s="32" t="str">
        <x:v>24h verification</x:v>
      </x:c>
      <x:c r="L168" s="32" t="str">
        <x:v>None</x:v>
      </x:c>
      <x:c r="M168" s="32" t="str">
        <x:v>Pass</x:v>
      </x:c>
      <x:c r="N168" s="32" t="str">
        <x:v>ทรงเชิ้ตช่วยให้ลุคดูเนี้ยบแบบไม่เป็นทางการเกินไปค่ะ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168" s="32" t="str">
        <x:v>ทรงเชิ้ตช่วยให้ลุคดูเนี้ยบแบบไม่เป็นทางการเกินไปค่ะ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168" s="32" t="n">
        <x:v>0</x:v>
      </x:c>
      <x:c r="Q168" s="32" t="str"/>
      <x:c r="R168" s="32" t="str">
        <x:v>None</x:v>
      </x:c>
      <x:c r="S168" s="32" t="str">
        <x:v>24h</x:v>
      </x:c>
      <x:c r="T168" s="32" t="str">
        <x:f>IF(I168="Inconclusive","Inconclusive",IF(AND(OR(R168="User",R168="Mixed"),J168&lt;&gt;""),IF(R168="Mixed","Mixed Reply","Verified User Reply"),"No Verified User Reply"))</x:f>
        <x:v>No Verified User Reply</x:v>
      </x:c>
      <x:c r="U168" s="32" t="str">
        <x:v>BATCH-VERIFY-24H</x:v>
      </x:c>
      <x:c r="V168" s="32" t="str">
        <x:f>D168&amp;"|"&amp;S168</x:f>
        <x:v>IC-0082|24h</x:v>
      </x:c>
      <x:c r="W168" s="32" t="str">
        <x:f>I168</x:f>
        <x:v>Visible</x:v>
      </x:c>
      <x:c r="X168" s="32" t="str">
        <x:f>R168</x:f>
        <x:v>None</x:v>
      </x:c>
      <x:c r="Y168" s="33" t="str">
        <x:f>T168</x:f>
        <x:v>No Verified User Reply</x:v>
      </x:c>
    </x:row>
    <x:row r="169">
      <x:c r="A169" s="49" t="n">
        <x:v>46227</x:v>
      </x:c>
      <x:c r="B169" s="32" t="str">
        <x:v>12:30</x:v>
      </x:c>
      <x:c r="C169" s="52" t="n">
        <x:v>46227</x:v>
      </x:c>
      <x:c r="D169" s="32" t="str">
        <x:v>IC-0083</x:v>
      </x:c>
      <x:c r="E169" s="32" t="str">
        <x:v>Account Slot 3</x:v>
      </x:c>
      <x:c r="F169" s="32" t="str">
        <x:v>https://video.invalid/case/V0083</x:v>
      </x:c>
      <x:c r="G169" s="32" t="str">
        <x:v>creator_case_083</x:v>
      </x:c>
      <x:c r="H169" s="32" t="str">
        <x:v>Pending</x:v>
      </x:c>
      <x:c r="I169" s="32" t="str">
        <x:v>Visible</x:v>
      </x:c>
      <x:c r="J169" s="32" t="str">
        <x:v>EVD-SYN-0083-30M</x:v>
      </x:c>
      <x:c r="K169" s="32" t="str">
        <x:v>30m verification</x:v>
      </x:c>
      <x:c r="L169" s="32" t="str">
        <x:v>None</x:v>
      </x:c>
      <x:c r="M169" s="32" t="str">
        <x:v>Pass</x:v>
      </x:c>
      <x:c r="N169" s="32" t="str">
        <x:v>OOTD นี้คุมความเรียบกับความเก๋ได้พอดีเลย พอมีตัวครอบกระดุมชิ้นเล็กแบบในรูป ช่วงคอกับข้อมือก็ดูตั้งใจขึ้นทันที</x:v>
      </x:c>
      <x:c r="O169" s="32" t="str">
        <x:v>OOTD นี้คุมความเรียบกับความเก๋ได้พอดีเลย พอมีตัวครอบกระดุมชิ้นเล็กแบบในรูป ช่วงคอกับข้อมือก็ดูตั้งใจขึ้นทันที</x:v>
      </x:c>
      <x:c r="P169" s="32" t="n">
        <x:v>0</x:v>
      </x:c>
      <x:c r="Q169" s="32" t="str"/>
      <x:c r="R169" s="32" t="str">
        <x:v>None</x:v>
      </x:c>
      <x:c r="S169" s="32" t="str">
        <x:v>30m</x:v>
      </x:c>
      <x:c r="T169" s="32" t="str">
        <x:f>IF(I169="Inconclusive","Inconclusive",IF(AND(OR(R169="User",R169="Mixed"),J169&lt;&gt;""),IF(R169="Mixed","Mixed Reply","Verified User Reply"),"No Verified User Reply"))</x:f>
        <x:v>No Verified User Reply</x:v>
      </x:c>
      <x:c r="U169" s="32" t="str">
        <x:v>BATCH-VERIFY-30M</x:v>
      </x:c>
      <x:c r="V169" s="32" t="str">
        <x:f>D169&amp;"|"&amp;S169</x:f>
        <x:v>IC-0083|30m</x:v>
      </x:c>
      <x:c r="W169" s="32" t="str">
        <x:f>I169</x:f>
        <x:v>Visible</x:v>
      </x:c>
      <x:c r="X169" s="32" t="str">
        <x:f>R169</x:f>
        <x:v>None</x:v>
      </x:c>
      <x:c r="Y169" s="33" t="str">
        <x:f>T169</x:f>
        <x:v>No Verified User Reply</x:v>
      </x:c>
    </x:row>
    <x:row r="170">
      <x:c r="A170" s="49" t="n">
        <x:v>46228</x:v>
      </x:c>
      <x:c r="B170" s="32" t="str">
        <x:v>12:00</x:v>
      </x:c>
      <x:c r="C170" s="52" t="n">
        <x:v>46227</x:v>
      </x:c>
      <x:c r="D170" s="32" t="str">
        <x:v>IC-0083</x:v>
      </x:c>
      <x:c r="E170" s="32" t="str">
        <x:v>Account Slot 3</x:v>
      </x:c>
      <x:c r="F170" s="32" t="str">
        <x:v>https://video.invalid/case/V0083</x:v>
      </x:c>
      <x:c r="G170" s="32" t="str">
        <x:v>creator_case_083</x:v>
      </x:c>
      <x:c r="H170" s="32" t="str">
        <x:v>Pending</x:v>
      </x:c>
      <x:c r="I170" s="32" t="str">
        <x:v>Visible</x:v>
      </x:c>
      <x:c r="J170" s="32" t="str">
        <x:v>EVD-SYN-0083-24H</x:v>
      </x:c>
      <x:c r="K170" s="32" t="str">
        <x:v>24h verification</x:v>
      </x:c>
      <x:c r="L170" s="32" t="str">
        <x:v>None</x:v>
      </x:c>
      <x:c r="M170" s="32" t="str">
        <x:v>Pass</x:v>
      </x:c>
      <x:c r="N170" s="32" t="str">
        <x:v>OOTD นี้คุมความเรียบกับความเก๋ได้พอดีเลย พอมีตัวครอบกระดุมชิ้นเล็กแบบในรูป ช่วงคอกับข้อมือก็ดูตั้งใจขึ้นทันที</x:v>
      </x:c>
      <x:c r="O170" s="32" t="str">
        <x:v>OOTD นี้คุมความเรียบกับความเก๋ได้พอดีเลย พอมีตัวครอบกระดุมชิ้นเล็กแบบในรูป ช่วงคอกับข้อมือก็ดูตั้งใจขึ้นทันที</x:v>
      </x:c>
      <x:c r="P170" s="32" t="n">
        <x:v>0</x:v>
      </x:c>
      <x:c r="Q170" s="32" t="str"/>
      <x:c r="R170" s="32" t="str">
        <x:v>None</x:v>
      </x:c>
      <x:c r="S170" s="32" t="str">
        <x:v>24h</x:v>
      </x:c>
      <x:c r="T170" s="32" t="str">
        <x:f>IF(I170="Inconclusive","Inconclusive",IF(AND(OR(R170="User",R170="Mixed"),J170&lt;&gt;""),IF(R170="Mixed","Mixed Reply","Verified User Reply"),"No Verified User Reply"))</x:f>
        <x:v>No Verified User Reply</x:v>
      </x:c>
      <x:c r="U170" s="32" t="str">
        <x:v>BATCH-VERIFY-24H</x:v>
      </x:c>
      <x:c r="V170" s="32" t="str">
        <x:f>D170&amp;"|"&amp;S170</x:f>
        <x:v>IC-0083|24h</x:v>
      </x:c>
      <x:c r="W170" s="32" t="str">
        <x:f>I170</x:f>
        <x:v>Visible</x:v>
      </x:c>
      <x:c r="X170" s="32" t="str">
        <x:f>R170</x:f>
        <x:v>None</x:v>
      </x:c>
      <x:c r="Y170" s="33" t="str">
        <x:f>T170</x:f>
        <x:v>No Verified User Reply</x:v>
      </x:c>
    </x:row>
    <x:row r="171">
      <x:c r="A171" s="49" t="n">
        <x:v>46227</x:v>
      </x:c>
      <x:c r="B171" s="32" t="str">
        <x:v>12:30</x:v>
      </x:c>
      <x:c r="C171" s="52" t="n">
        <x:v>46227</x:v>
      </x:c>
      <x:c r="D171" s="32" t="str">
        <x:v>IC-0084</x:v>
      </x:c>
      <x:c r="E171" s="32" t="str">
        <x:v>Account Slot 4</x:v>
      </x:c>
      <x:c r="F171" s="32" t="str">
        <x:v>https://video.invalid/case/V0084</x:v>
      </x:c>
      <x:c r="G171" s="32" t="str">
        <x:v>creator_case_084</x:v>
      </x:c>
      <x:c r="H171" s="32" t="str">
        <x:v>Pending</x:v>
      </x:c>
      <x:c r="I171" s="32" t="str">
        <x:v>Visible</x:v>
      </x:c>
      <x:c r="J171" s="32" t="str">
        <x:v>EVD-SYN-0084-30M</x:v>
      </x:c>
      <x:c r="K171" s="32" t="str">
        <x:v>30m verification</x:v>
      </x:c>
      <x:c r="L171" s="32" t="str">
        <x:v>None</x:v>
      </x:c>
      <x:c r="M171" s="32" t="str">
        <x:v>Pass</x:v>
      </x:c>
      <x:c r="N171" s="32" t="str">
        <x:v>มู้ดของลุคนี้ดูสุภาพแต่ไม่ทำให้ชุดน่าเบื่อเลย เสื้อทรงนี้ถ้าเพิ่มตัวครอบกระดุมสีอ่อนแบบในรูป น่าจะดูหวานขึ้นโดยไม่หลุดโทนค่ะ</x:v>
      </x:c>
      <x:c r="O171" s="32" t="str">
        <x:v>มู้ดของลุคนี้ดูสุภาพแต่ไม่ทำให้ชุดน่าเบื่อเลย เสื้อทรงนี้ถ้าเพิ่มตัวครอบกระดุมสีอ่อนแบบในรูป น่าจะดูหวานขึ้นโดยไม่หลุดโทนค่ะ</x:v>
      </x:c>
      <x:c r="P171" s="32" t="n">
        <x:v>0</x:v>
      </x:c>
      <x:c r="Q171" s="32" t="str"/>
      <x:c r="R171" s="32" t="str">
        <x:v>None</x:v>
      </x:c>
      <x:c r="S171" s="32" t="str">
        <x:v>30m</x:v>
      </x:c>
      <x:c r="T171" s="32" t="str">
        <x:f>IF(I171="Inconclusive","Inconclusive",IF(AND(OR(R171="User",R171="Mixed"),J171&lt;&gt;""),IF(R171="Mixed","Mixed Reply","Verified User Reply"),"No Verified User Reply"))</x:f>
        <x:v>No Verified User Reply</x:v>
      </x:c>
      <x:c r="U171" s="32" t="str">
        <x:v>BATCH-VERIFY-30M</x:v>
      </x:c>
      <x:c r="V171" s="32" t="str">
        <x:f>D171&amp;"|"&amp;S171</x:f>
        <x:v>IC-0084|30m</x:v>
      </x:c>
      <x:c r="W171" s="32" t="str">
        <x:f>I171</x:f>
        <x:v>Visible</x:v>
      </x:c>
      <x:c r="X171" s="32" t="str">
        <x:f>R171</x:f>
        <x:v>None</x:v>
      </x:c>
      <x:c r="Y171" s="33" t="str">
        <x:f>T171</x:f>
        <x:v>No Verified User Reply</x:v>
      </x:c>
    </x:row>
    <x:row r="172">
      <x:c r="A172" s="49" t="n">
        <x:v>46228</x:v>
      </x:c>
      <x:c r="B172" s="32" t="str">
        <x:v>12:00</x:v>
      </x:c>
      <x:c r="C172" s="52" t="n">
        <x:v>46227</x:v>
      </x:c>
      <x:c r="D172" s="32" t="str">
        <x:v>IC-0084</x:v>
      </x:c>
      <x:c r="E172" s="32" t="str">
        <x:v>Account Slot 4</x:v>
      </x:c>
      <x:c r="F172" s="32" t="str">
        <x:v>https://video.invalid/case/V0084</x:v>
      </x:c>
      <x:c r="G172" s="32" t="str">
        <x:v>creator_case_084</x:v>
      </x:c>
      <x:c r="H172" s="32" t="str">
        <x:v>Pending</x:v>
      </x:c>
      <x:c r="I172" s="32" t="str">
        <x:v>Visible</x:v>
      </x:c>
      <x:c r="J172" s="32" t="str">
        <x:v>EVD-SYN-0084-24H</x:v>
      </x:c>
      <x:c r="K172" s="32" t="str">
        <x:v>24h verification</x:v>
      </x:c>
      <x:c r="L172" s="32" t="str">
        <x:v>None</x:v>
      </x:c>
      <x:c r="M172" s="32" t="str">
        <x:v>Pass</x:v>
      </x:c>
      <x:c r="N172" s="32" t="str">
        <x:v>มู้ดของลุคนี้ดูสุภาพแต่ไม่ทำให้ชุดน่าเบื่อเลย เสื้อทรงนี้ถ้าเพิ่มตัวครอบกระดุมสีอ่อนแบบในรูป น่าจะดูหวานขึ้นโดยไม่หลุดโทนค่ะ</x:v>
      </x:c>
      <x:c r="O172" s="32" t="str">
        <x:v>มู้ดของลุคนี้ดูสุภาพแต่ไม่ทำให้ชุดน่าเบื่อเลย เสื้อทรงนี้ถ้าเพิ่มตัวครอบกระดุมสีอ่อนแบบในรูป น่าจะดูหวานขึ้นโดยไม่หลุดโทนค่ะ</x:v>
      </x:c>
      <x:c r="P172" s="32" t="n">
        <x:v>0</x:v>
      </x:c>
      <x:c r="Q172" s="32" t="str"/>
      <x:c r="R172" s="32" t="str">
        <x:v>None</x:v>
      </x:c>
      <x:c r="S172" s="32" t="str">
        <x:v>24h</x:v>
      </x:c>
      <x:c r="T172" s="32" t="str">
        <x:f>IF(I172="Inconclusive","Inconclusive",IF(AND(OR(R172="User",R172="Mixed"),J172&lt;&gt;""),IF(R172="Mixed","Mixed Reply","Verified User Reply"),"No Verified User Reply"))</x:f>
        <x:v>No Verified User Reply</x:v>
      </x:c>
      <x:c r="U172" s="32" t="str">
        <x:v>BATCH-VERIFY-24H</x:v>
      </x:c>
      <x:c r="V172" s="32" t="str">
        <x:f>D172&amp;"|"&amp;S172</x:f>
        <x:v>IC-0084|24h</x:v>
      </x:c>
      <x:c r="W172" s="32" t="str">
        <x:f>I172</x:f>
        <x:v>Visible</x:v>
      </x:c>
      <x:c r="X172" s="32" t="str">
        <x:f>R172</x:f>
        <x:v>None</x:v>
      </x:c>
      <x:c r="Y172" s="33" t="str">
        <x:f>T172</x:f>
        <x:v>No Verified User Reply</x:v>
      </x:c>
    </x:row>
    <x:row r="173">
      <x:c r="A173" s="49" t="n">
        <x:v>46227</x:v>
      </x:c>
      <x:c r="B173" s="32" t="str">
        <x:v>12:30</x:v>
      </x:c>
      <x:c r="C173" s="52" t="n">
        <x:v>46227</x:v>
      </x:c>
      <x:c r="D173" s="32" t="str">
        <x:v>IC-0085</x:v>
      </x:c>
      <x:c r="E173" s="32" t="str">
        <x:v>Account Slot 5</x:v>
      </x:c>
      <x:c r="F173" s="32" t="str">
        <x:v>https://video.invalid/case/V0085</x:v>
      </x:c>
      <x:c r="G173" s="32" t="str">
        <x:v>creator_case_085</x:v>
      </x:c>
      <x:c r="H173" s="32" t="str">
        <x:v>Pending</x:v>
      </x:c>
      <x:c r="I173" s="32" t="str">
        <x:v>Visible</x:v>
      </x:c>
      <x:c r="J173" s="32" t="str">
        <x:v>EVD-SYN-0085-30M</x:v>
      </x:c>
      <x:c r="K173" s="32" t="str">
        <x:v>30m verification</x:v>
      </x:c>
      <x:c r="L173" s="32" t="str">
        <x:v>None</x:v>
      </x:c>
      <x:c r="M173" s="32" t="str">
        <x:v>Pass</x:v>
      </x:c>
      <x:c r="N173" s="32" t="str">
        <x:v>เสื้อคลุมทรงนี้ช่วยให้ชุดดูนุ่มนวลขึ้นพอดีเลย จุดเล็ก ๆ โทนชมพูแบบในรูปทำให้เสื้อขาวดูละมุนและแต่งสนุกขึ้นมาก</x:v>
      </x:c>
      <x:c r="O173" s="32" t="str">
        <x:v>เสื้อคลุมทรงนี้ช่วยให้ชุดดูนุ่มนวลขึ้นพอดีเลย จุดเล็ก ๆ โทนชมพูแบบในรูปทำให้เสื้อขาวดูละมุนและแต่งสนุกขึ้นมาก</x:v>
      </x:c>
      <x:c r="P173" s="32" t="n">
        <x:v>1</x:v>
      </x:c>
      <x:c r="Q173" s="32" t="str">
        <x:v>Synthetic reply preview</x:v>
      </x:c>
      <x:c r="R173" s="32" t="str">
        <x:v>User</x:v>
      </x:c>
      <x:c r="S173" s="32" t="str">
        <x:v>30m</x:v>
      </x:c>
      <x:c r="T173" s="32" t="str">
        <x:f>IF(I173="Inconclusive","Inconclusive",IF(AND(OR(R173="User",R173="Mixed"),J173&lt;&gt;""),IF(R173="Mixed","Mixed Reply","Verified User Reply"),"No Verified User Reply"))</x:f>
        <x:v>Verified User Reply</x:v>
      </x:c>
      <x:c r="U173" s="32" t="str">
        <x:v>BATCH-VERIFY-30M</x:v>
      </x:c>
      <x:c r="V173" s="32" t="str">
        <x:f>D173&amp;"|"&amp;S173</x:f>
        <x:v>IC-0085|30m</x:v>
      </x:c>
      <x:c r="W173" s="32" t="str">
        <x:f>I173</x:f>
        <x:v>Visible</x:v>
      </x:c>
      <x:c r="X173" s="32" t="str">
        <x:f>R173</x:f>
        <x:v>User</x:v>
      </x:c>
      <x:c r="Y173" s="33" t="str">
        <x:f>T173</x:f>
        <x:v>Verified User Reply</x:v>
      </x:c>
    </x:row>
    <x:row r="174">
      <x:c r="A174" s="49" t="n">
        <x:v>46228</x:v>
      </x:c>
      <x:c r="B174" s="32" t="str">
        <x:v>12:00</x:v>
      </x:c>
      <x:c r="C174" s="52" t="n">
        <x:v>46227</x:v>
      </x:c>
      <x:c r="D174" s="32" t="str">
        <x:v>IC-0085</x:v>
      </x:c>
      <x:c r="E174" s="32" t="str">
        <x:v>Account Slot 5</x:v>
      </x:c>
      <x:c r="F174" s="32" t="str">
        <x:v>https://video.invalid/case/V0085</x:v>
      </x:c>
      <x:c r="G174" s="32" t="str">
        <x:v>creator_case_085</x:v>
      </x:c>
      <x:c r="H174" s="32" t="str">
        <x:v>Pending</x:v>
      </x:c>
      <x:c r="I174" s="32" t="str">
        <x:v>Visible</x:v>
      </x:c>
      <x:c r="J174" s="32" t="str">
        <x:v>EVD-SYN-0085-24H</x:v>
      </x:c>
      <x:c r="K174" s="32" t="str">
        <x:v>24h verification</x:v>
      </x:c>
      <x:c r="L174" s="32" t="str">
        <x:v>None</x:v>
      </x:c>
      <x:c r="M174" s="32" t="str">
        <x:v>Pass</x:v>
      </x:c>
      <x:c r="N174" s="32" t="str">
        <x:v>เสื้อคลุมทรงนี้ช่วยให้ชุดดูนุ่มนวลขึ้นพอดีเลย จุดเล็ก ๆ โทนชมพูแบบในรูปทำให้เสื้อขาวดูละมุนและแต่งสนุกขึ้นมาก</x:v>
      </x:c>
      <x:c r="O174" s="32" t="str">
        <x:v>เสื้อคลุมทรงนี้ช่วยให้ชุดดูนุ่มนวลขึ้นพอดีเลย จุดเล็ก ๆ โทนชมพูแบบในรูปทำให้เสื้อขาวดูละมุนและแต่งสนุกขึ้นมาก</x:v>
      </x:c>
      <x:c r="P174" s="32" t="n">
        <x:v>1</x:v>
      </x:c>
      <x:c r="Q174" s="32" t="str">
        <x:v>Synthetic reply preview</x:v>
      </x:c>
      <x:c r="R174" s="32" t="str">
        <x:v>User</x:v>
      </x:c>
      <x:c r="S174" s="32" t="str">
        <x:v>24h</x:v>
      </x:c>
      <x:c r="T174" s="32" t="str">
        <x:f>IF(I174="Inconclusive","Inconclusive",IF(AND(OR(R174="User",R174="Mixed"),J174&lt;&gt;""),IF(R174="Mixed","Mixed Reply","Verified User Reply"),"No Verified User Reply"))</x:f>
        <x:v>Verified User Reply</x:v>
      </x:c>
      <x:c r="U174" s="32" t="str">
        <x:v>BATCH-VERIFY-24H</x:v>
      </x:c>
      <x:c r="V174" s="32" t="str">
        <x:f>D174&amp;"|"&amp;S174</x:f>
        <x:v>IC-0085|24h</x:v>
      </x:c>
      <x:c r="W174" s="32" t="str">
        <x:f>I174</x:f>
        <x:v>Visible</x:v>
      </x:c>
      <x:c r="X174" s="32" t="str">
        <x:f>R174</x:f>
        <x:v>User</x:v>
      </x:c>
      <x:c r="Y174" s="33" t="str">
        <x:f>T174</x:f>
        <x:v>Verified User Reply</x:v>
      </x:c>
    </x:row>
    <x:row r="175">
      <x:c r="A175" s="49" t="n">
        <x:v>46227</x:v>
      </x:c>
      <x:c r="B175" s="32" t="str">
        <x:v>12:30</x:v>
      </x:c>
      <x:c r="C175" s="52" t="n">
        <x:v>46227</x:v>
      </x:c>
      <x:c r="D175" s="32" t="str">
        <x:v>IC-0086</x:v>
      </x:c>
      <x:c r="E175" s="32" t="str">
        <x:v>Account Slot 6</x:v>
      </x:c>
      <x:c r="F175" s="32" t="str">
        <x:v>https://video.invalid/case/V0086</x:v>
      </x:c>
      <x:c r="G175" s="32" t="str">
        <x:v>creator_case_086</x:v>
      </x:c>
      <x:c r="H175" s="32" t="str">
        <x:v>Pending</x:v>
      </x:c>
      <x:c r="I175" s="32" t="str">
        <x:v>Visible</x:v>
      </x:c>
      <x:c r="J175" s="32" t="str">
        <x:v>EVD-SYN-0086-30M</x:v>
      </x:c>
      <x:c r="K175" s="32" t="str">
        <x:v>30m verification</x:v>
      </x:c>
      <x:c r="L175" s="32" t="str">
        <x:v>None</x:v>
      </x:c>
      <x:c r="M175" s="32" t="str">
        <x:v>Pass</x:v>
      </x:c>
      <x:c r="N175" s="32" t="str">
        <x:v>ชุดนี้แต่งตามง่ายและเหมาะกับหลายโอกาสจริงค่ะ ถ้าเล่นลูกเล่นกระดุมดอกไม้เล็ก ๆ แบบในรูป ช่วงบนของลุคน่าจะเด่นขึ้นพอดีค่ะ</x:v>
      </x:c>
      <x:c r="O175" s="32" t="str">
        <x:v>ชุดนี้แต่งตามง่ายและเหมาะกับหลายโอกาสจริงค่ะ ถ้าเล่นลูกเล่นกระดุมดอกไม้เล็ก ๆ แบบในรูป ช่วงบนของลุคน่าจะเด่นขึ้นพอดีค่ะ</x:v>
      </x:c>
      <x:c r="P175" s="32" t="n">
        <x:v>0</x:v>
      </x:c>
      <x:c r="Q175" s="32" t="str"/>
      <x:c r="R175" s="32" t="str">
        <x:v>None</x:v>
      </x:c>
      <x:c r="S175" s="32" t="str">
        <x:v>30m</x:v>
      </x:c>
      <x:c r="T175" s="32" t="str">
        <x:f>IF(I175="Inconclusive","Inconclusive",IF(AND(OR(R175="User",R175="Mixed"),J175&lt;&gt;""),IF(R175="Mixed","Mixed Reply","Verified User Reply"),"No Verified User Reply"))</x:f>
        <x:v>No Verified User Reply</x:v>
      </x:c>
      <x:c r="U175" s="32" t="str">
        <x:v>BATCH-VERIFY-30M</x:v>
      </x:c>
      <x:c r="V175" s="32" t="str">
        <x:f>D175&amp;"|"&amp;S175</x:f>
        <x:v>IC-0086|30m</x:v>
      </x:c>
      <x:c r="W175" s="32" t="str">
        <x:f>I175</x:f>
        <x:v>Visible</x:v>
      </x:c>
      <x:c r="X175" s="32" t="str">
        <x:f>R175</x:f>
        <x:v>None</x:v>
      </x:c>
      <x:c r="Y175" s="33" t="str">
        <x:f>T175</x:f>
        <x:v>No Verified User Reply</x:v>
      </x:c>
    </x:row>
    <x:row r="176">
      <x:c r="A176" s="49" t="n">
        <x:v>46228</x:v>
      </x:c>
      <x:c r="B176" s="32" t="str">
        <x:v>12:00</x:v>
      </x:c>
      <x:c r="C176" s="52" t="n">
        <x:v>46227</x:v>
      </x:c>
      <x:c r="D176" s="32" t="str">
        <x:v>IC-0086</x:v>
      </x:c>
      <x:c r="E176" s="32" t="str">
        <x:v>Account Slot 6</x:v>
      </x:c>
      <x:c r="F176" s="32" t="str">
        <x:v>https://video.invalid/case/V0086</x:v>
      </x:c>
      <x:c r="G176" s="32" t="str">
        <x:v>creator_case_086</x:v>
      </x:c>
      <x:c r="H176" s="32" t="str">
        <x:v>Pending</x:v>
      </x:c>
      <x:c r="I176" s="32" t="str">
        <x:v>Missing</x:v>
      </x:c>
      <x:c r="J176" s="32" t="str">
        <x:v>EVD-SYN-0086-24H</x:v>
      </x:c>
      <x:c r="K176" s="32" t="str">
        <x:v>24h verification</x:v>
      </x:c>
      <x:c r="L176" s="32" t="str">
        <x:v>None</x:v>
      </x:c>
      <x:c r="M176" s="32" t="str">
        <x:v>Pass</x:v>
      </x:c>
      <x:c r="N176" s="32" t="str">
        <x:v>ชุดนี้แต่งตามง่ายและเหมาะกับหลายโอกาสจริงค่ะ ถ้าเล่นลูกเล่นกระดุมดอกไม้เล็ก ๆ แบบในรูป ช่วงบนของลุคน่าจะเด่นขึ้นพอดีค่ะ</x:v>
      </x:c>
      <x:c r="O176" s="32"/>
      <x:c r="P176" s="32" t="n">
        <x:v>0</x:v>
      </x:c>
      <x:c r="Q176" s="32" t="str"/>
      <x:c r="R176" s="32" t="str">
        <x:v>None</x:v>
      </x:c>
      <x:c r="S176" s="32" t="str">
        <x:v>24h</x:v>
      </x:c>
      <x:c r="T176" s="32" t="str">
        <x:f>IF(I176="Inconclusive","Inconclusive",IF(AND(OR(R176="User",R176="Mixed"),J176&lt;&gt;""),IF(R176="Mixed","Mixed Reply","Verified User Reply"),"No Verified User Reply"))</x:f>
        <x:v>No Verified User Reply</x:v>
      </x:c>
      <x:c r="U176" s="32" t="str">
        <x:v>BATCH-VERIFY-24H</x:v>
      </x:c>
      <x:c r="V176" s="32" t="str">
        <x:f>D176&amp;"|"&amp;S176</x:f>
        <x:v>IC-0086|24h</x:v>
      </x:c>
      <x:c r="W176" s="32" t="str">
        <x:f>I176</x:f>
        <x:v>Missing</x:v>
      </x:c>
      <x:c r="X176" s="32" t="str">
        <x:f>R176</x:f>
        <x:v>None</x:v>
      </x:c>
      <x:c r="Y176" s="33" t="str">
        <x:f>T176</x:f>
        <x:v>No Verified User Reply</x:v>
      </x:c>
    </x:row>
    <x:row r="177">
      <x:c r="A177" s="49" t="n">
        <x:v>46227</x:v>
      </x:c>
      <x:c r="B177" s="32" t="str">
        <x:v>12:30</x:v>
      </x:c>
      <x:c r="C177" s="52" t="n">
        <x:v>46227</x:v>
      </x:c>
      <x:c r="D177" s="32" t="str">
        <x:v>IC-0087</x:v>
      </x:c>
      <x:c r="E177" s="32" t="str">
        <x:v>Account Slot 7</x:v>
      </x:c>
      <x:c r="F177" s="32" t="str">
        <x:v>https://video.invalid/case/V0087</x:v>
      </x:c>
      <x:c r="G177" s="32" t="str">
        <x:v>creator_case_087</x:v>
      </x:c>
      <x:c r="H177" s="32" t="str">
        <x:v>Pending</x:v>
      </x:c>
      <x:c r="I177" s="32" t="str">
        <x:v>Visible</x:v>
      </x:c>
      <x:c r="J177" s="32" t="str">
        <x:v>EVD-SYN-0087-30M</x:v>
      </x:c>
      <x:c r="K177" s="32" t="str">
        <x:v>30m verification</x:v>
      </x:c>
      <x:c r="L177" s="32" t="str">
        <x:v>None</x:v>
      </x:c>
      <x:c r="M177" s="32" t="str">
        <x:v>Pass</x:v>
      </x:c>
      <x:c r="N177" s="32" t="str">
        <x:v>ลุคทำงานนี้ดูสุภาพและใช้งานจริงได้มากค่ะ จุดเล็ก ๆ โทนชมพูแบบในรูปทำให้เสื้อขาวดูละมุนและแต่งสนุกขึ้นมาก</x:v>
      </x:c>
      <x:c r="O177" s="32" t="str">
        <x:v>ลุคทำงานนี้ดูสุภาพและใช้งานจริงได้มากค่ะ จุดเล็ก ๆ โทนชมพูแบบในรูปทำให้เสื้อขาวดูละมุนและแต่งสนุกขึ้นมาก</x:v>
      </x:c>
      <x:c r="P177" s="32" t="n">
        <x:v>0</x:v>
      </x:c>
      <x:c r="Q177" s="32" t="str"/>
      <x:c r="R177" s="32" t="str">
        <x:v>None</x:v>
      </x:c>
      <x:c r="S177" s="32" t="str">
        <x:v>30m</x:v>
      </x:c>
      <x:c r="T177" s="32" t="str">
        <x:f>IF(I177="Inconclusive","Inconclusive",IF(AND(OR(R177="User",R177="Mixed"),J177&lt;&gt;""),IF(R177="Mixed","Mixed Reply","Verified User Reply"),"No Verified User Reply"))</x:f>
        <x:v>No Verified User Reply</x:v>
      </x:c>
      <x:c r="U177" s="32" t="str">
        <x:v>BATCH-VERIFY-30M</x:v>
      </x:c>
      <x:c r="V177" s="32" t="str">
        <x:f>D177&amp;"|"&amp;S177</x:f>
        <x:v>IC-0087|30m</x:v>
      </x:c>
      <x:c r="W177" s="32" t="str">
        <x:f>I177</x:f>
        <x:v>Visible</x:v>
      </x:c>
      <x:c r="X177" s="32" t="str">
        <x:f>R177</x:f>
        <x:v>None</x:v>
      </x:c>
      <x:c r="Y177" s="33" t="str">
        <x:f>T177</x:f>
        <x:v>No Verified User Reply</x:v>
      </x:c>
    </x:row>
    <x:row r="178">
      <x:c r="A178" s="49" t="n">
        <x:v>46228</x:v>
      </x:c>
      <x:c r="B178" s="32" t="str">
        <x:v>12:00</x:v>
      </x:c>
      <x:c r="C178" s="52" t="n">
        <x:v>46227</x:v>
      </x:c>
      <x:c r="D178" s="32" t="str">
        <x:v>IC-0087</x:v>
      </x:c>
      <x:c r="E178" s="32" t="str">
        <x:v>Account Slot 7</x:v>
      </x:c>
      <x:c r="F178" s="32" t="str">
        <x:v>https://video.invalid/case/V0087</x:v>
      </x:c>
      <x:c r="G178" s="32" t="str">
        <x:v>creator_case_087</x:v>
      </x:c>
      <x:c r="H178" s="32" t="str">
        <x:v>Pending</x:v>
      </x:c>
      <x:c r="I178" s="32" t="str">
        <x:v>Visible</x:v>
      </x:c>
      <x:c r="J178" s="32" t="str">
        <x:v>EVD-SYN-0087-24H</x:v>
      </x:c>
      <x:c r="K178" s="32" t="str">
        <x:v>24h verification</x:v>
      </x:c>
      <x:c r="L178" s="32" t="str">
        <x:v>None</x:v>
      </x:c>
      <x:c r="M178" s="32" t="str">
        <x:v>Pass</x:v>
      </x:c>
      <x:c r="N178" s="32" t="str">
        <x:v>ลุคทำงานนี้ดูสุภาพและใช้งานจริงได้มากค่ะ จุดเล็ก ๆ โทนชมพูแบบในรูปทำให้เสื้อขาวดูละมุนและแต่งสนุกขึ้นมาก</x:v>
      </x:c>
      <x:c r="O178" s="32" t="str">
        <x:v>ลุคทำงานนี้ดูสุภาพและใช้งานจริงได้มากค่ะ จุดเล็ก ๆ โทนชมพูแบบในรูปทำให้เสื้อขาวดูละมุนและแต่งสนุกขึ้นมาก</x:v>
      </x:c>
      <x:c r="P178" s="32" t="n">
        <x:v>0</x:v>
      </x:c>
      <x:c r="Q178" s="32" t="str"/>
      <x:c r="R178" s="32" t="str">
        <x:v>None</x:v>
      </x:c>
      <x:c r="S178" s="32" t="str">
        <x:v>24h</x:v>
      </x:c>
      <x:c r="T178" s="32" t="str">
        <x:f>IF(I178="Inconclusive","Inconclusive",IF(AND(OR(R178="User",R178="Mixed"),J178&lt;&gt;""),IF(R178="Mixed","Mixed Reply","Verified User Reply"),"No Verified User Reply"))</x:f>
        <x:v>No Verified User Reply</x:v>
      </x:c>
      <x:c r="U178" s="32" t="str">
        <x:v>BATCH-VERIFY-24H</x:v>
      </x:c>
      <x:c r="V178" s="32" t="str">
        <x:f>D178&amp;"|"&amp;S178</x:f>
        <x:v>IC-0087|24h</x:v>
      </x:c>
      <x:c r="W178" s="32" t="str">
        <x:f>I178</x:f>
        <x:v>Visible</x:v>
      </x:c>
      <x:c r="X178" s="32" t="str">
        <x:f>R178</x:f>
        <x:v>None</x:v>
      </x:c>
      <x:c r="Y178" s="33" t="str">
        <x:f>T178</x:f>
        <x:v>No Verified User Reply</x:v>
      </x:c>
    </x:row>
    <x:row r="179">
      <x:c r="A179" s="49" t="n">
        <x:v>46227</x:v>
      </x:c>
      <x:c r="B179" s="32" t="str">
        <x:v>12:30</x:v>
      </x:c>
      <x:c r="C179" s="52" t="n">
        <x:v>46227</x:v>
      </x:c>
      <x:c r="D179" s="32" t="str">
        <x:v>IC-0088</x:v>
      </x:c>
      <x:c r="E179" s="32" t="str">
        <x:v>Account Slot 8</x:v>
      </x:c>
      <x:c r="F179" s="32" t="str">
        <x:v>https://video.invalid/case/V0088</x:v>
      </x:c>
      <x:c r="G179" s="32" t="str">
        <x:v>creator_case_088</x:v>
      </x:c>
      <x:c r="H179" s="32" t="str">
        <x:v>Pending</x:v>
      </x:c>
      <x:c r="I179" s="32" t="str">
        <x:v>Visible</x:v>
      </x:c>
      <x:c r="J179" s="32" t="str">
        <x:v>EVD-SYN-0088-30M</x:v>
      </x:c>
      <x:c r="K179" s="32" t="str">
        <x:v>30m verification</x:v>
      </x:c>
      <x:c r="L179" s="32" t="str">
        <x:v>None</x:v>
      </x:c>
      <x:c r="M179" s="32" t="str">
        <x:v>Pass</x:v>
      </x:c>
      <x:c r="N179" s="32" t="str">
        <x:v>ลิงก์หน้าโปรไฟล์ ลดราคา รีบซื้อก่อนหมด</x:v>
      </x:c>
      <x:c r="O179" s="32" t="str">
        <x:v>ลิงก์หน้าโปรไฟล์ ลดราคา รีบซื้อก่อนหมด</x:v>
      </x:c>
      <x:c r="P179" s="32" t="n">
        <x:v>2</x:v>
      </x:c>
      <x:c r="Q179" s="32" t="str">
        <x:v>Synthetic reply preview</x:v>
      </x:c>
      <x:c r="R179" s="32" t="str">
        <x:v>Mixed</x:v>
      </x:c>
      <x:c r="S179" s="32" t="str">
        <x:v>30m</x:v>
      </x:c>
      <x:c r="T179" s="32" t="str">
        <x:f>IF(I179="Inconclusive","Inconclusive",IF(AND(OR(R179="User",R179="Mixed"),J179&lt;&gt;""),IF(R179="Mixed","Mixed Reply","Verified User Reply"),"No Verified User Reply"))</x:f>
        <x:v>Mixed Reply</x:v>
      </x:c>
      <x:c r="U179" s="32" t="str">
        <x:v>BATCH-VERIFY-30M</x:v>
      </x:c>
      <x:c r="V179" s="32" t="str">
        <x:f>D179&amp;"|"&amp;S179</x:f>
        <x:v>IC-0088|30m</x:v>
      </x:c>
      <x:c r="W179" s="32" t="str">
        <x:f>I179</x:f>
        <x:v>Visible</x:v>
      </x:c>
      <x:c r="X179" s="32" t="str">
        <x:f>R179</x:f>
        <x:v>Mixed</x:v>
      </x:c>
      <x:c r="Y179" s="33" t="str">
        <x:f>T179</x:f>
        <x:v>Mixed Reply</x:v>
      </x:c>
    </x:row>
    <x:row r="180">
      <x:c r="A180" s="49" t="n">
        <x:v>46228</x:v>
      </x:c>
      <x:c r="B180" s="32" t="str">
        <x:v>12:00</x:v>
      </x:c>
      <x:c r="C180" s="52" t="n">
        <x:v>46227</x:v>
      </x:c>
      <x:c r="D180" s="32" t="str">
        <x:v>IC-0088</x:v>
      </x:c>
      <x:c r="E180" s="32" t="str">
        <x:v>Account Slot 8</x:v>
      </x:c>
      <x:c r="F180" s="32" t="str">
        <x:v>https://video.invalid/case/V0088</x:v>
      </x:c>
      <x:c r="G180" s="32" t="str">
        <x:v>creator_case_088</x:v>
      </x:c>
      <x:c r="H180" s="32" t="str">
        <x:v>Pending</x:v>
      </x:c>
      <x:c r="I180" s="32" t="str">
        <x:v>Visible</x:v>
      </x:c>
      <x:c r="J180" s="32" t="str">
        <x:v>EVD-SYN-0088-24H</x:v>
      </x:c>
      <x:c r="K180" s="32" t="str">
        <x:v>24h verification</x:v>
      </x:c>
      <x:c r="L180" s="32" t="str">
        <x:v>None</x:v>
      </x:c>
      <x:c r="M180" s="32" t="str">
        <x:v>Pass</x:v>
      </x:c>
      <x:c r="N180" s="32" t="str">
        <x:v>ลิงก์หน้าโปรไฟล์ ลดราคา รีบซื้อก่อนหมด</x:v>
      </x:c>
      <x:c r="O180" s="32" t="str">
        <x:v>ลิงก์หน้าโปรไฟล์ ลดราคา รีบซื้อก่อนหมด</x:v>
      </x:c>
      <x:c r="P180" s="32" t="n">
        <x:v>2</x:v>
      </x:c>
      <x:c r="Q180" s="32" t="str">
        <x:v>Synthetic reply preview</x:v>
      </x:c>
      <x:c r="R180" s="32" t="str">
        <x:v>Creator</x:v>
      </x:c>
      <x:c r="S180" s="32" t="str">
        <x:v>24h</x:v>
      </x:c>
      <x:c r="T180" s="32" t="str">
        <x:f>IF(I180="Inconclusive","Inconclusive",IF(AND(OR(R180="User",R180="Mixed"),J180&lt;&gt;""),IF(R180="Mixed","Mixed Reply","Verified User Reply"),"No Verified User Reply"))</x:f>
        <x:v>No Verified User Reply</x:v>
      </x:c>
      <x:c r="U180" s="32" t="str">
        <x:v>BATCH-VERIFY-24H</x:v>
      </x:c>
      <x:c r="V180" s="32" t="str">
        <x:f>D180&amp;"|"&amp;S180</x:f>
        <x:v>IC-0088|24h</x:v>
      </x:c>
      <x:c r="W180" s="32" t="str">
        <x:f>I180</x:f>
        <x:v>Visible</x:v>
      </x:c>
      <x:c r="X180" s="32" t="str">
        <x:f>R180</x:f>
        <x:v>Creator</x:v>
      </x:c>
      <x:c r="Y180" s="33" t="str">
        <x:f>T180</x:f>
        <x:v>No Verified User Reply</x:v>
      </x:c>
    </x:row>
    <x:row r="181">
      <x:c r="A181" s="49" t="n">
        <x:v>46227</x:v>
      </x:c>
      <x:c r="B181" s="32" t="str">
        <x:v>12:30</x:v>
      </x:c>
      <x:c r="C181" s="52" t="n">
        <x:v>46227</x:v>
      </x:c>
      <x:c r="D181" s="32" t="str">
        <x:v>IC-0089</x:v>
      </x:c>
      <x:c r="E181" s="32" t="str">
        <x:v>Account Slot 9</x:v>
      </x:c>
      <x:c r="F181" s="32" t="str">
        <x:v>https://video.invalid/case/V0089</x:v>
      </x:c>
      <x:c r="G181" s="32" t="str">
        <x:v>creator_case_089</x:v>
      </x:c>
      <x:c r="H181" s="32" t="str">
        <x:v>Pending</x:v>
      </x:c>
      <x:c r="I181" s="32" t="str">
        <x:v>Visible</x:v>
      </x:c>
      <x:c r="J181" s="32" t="str">
        <x:v>EVD-SYN-0089-30M</x:v>
      </x:c>
      <x:c r="K181" s="32" t="str">
        <x:v>30m verification</x:v>
      </x:c>
      <x:c r="L181" s="32" t="str">
        <x:v>None</x:v>
      </x:c>
      <x:c r="M181" s="32" t="str">
        <x:v>Pass</x:v>
      </x:c>
      <x:c r="N181" s="32" t="str">
        <x:v>มู้ด working woman แบบนี้ดูแพงและมีคาแรกเตอร์มาก รายละเอียดเล็กบนปกแบบในรูปช่วยเพิ่มคาแรกเตอร์ให้ลุคประชุมโดยยังดูสุภาพค่ะ</x:v>
      </x:c>
      <x:c r="O181" s="32" t="str">
        <x:v>มู้ด working woman แบบนี้ดูแพงและมีคาแรกเตอร์มาก รายละเอียดเล็กบนปกแบบในรูปช่วยเพิ่มคาแรกเตอร์ให้ลุคประชุมโดยยังดูสุภาพค่ะ</x:v>
      </x:c>
      <x:c r="P181" s="32" t="n">
        <x:v>1</x:v>
      </x:c>
      <x:c r="Q181" s="32" t="str">
        <x:v>Synthetic reply preview</x:v>
      </x:c>
      <x:c r="R181" s="32" t="str">
        <x:v>Creator</x:v>
      </x:c>
      <x:c r="S181" s="32" t="str">
        <x:v>30m</x:v>
      </x:c>
      <x:c r="T181" s="32" t="str">
        <x:f>IF(I181="Inconclusive","Inconclusive",IF(AND(OR(R181="User",R181="Mixed"),J181&lt;&gt;""),IF(R181="Mixed","Mixed Reply","Verified User Reply"),"No Verified User Reply"))</x:f>
        <x:v>No Verified User Reply</x:v>
      </x:c>
      <x:c r="U181" s="32" t="str">
        <x:v>BATCH-VERIFY-30M</x:v>
      </x:c>
      <x:c r="V181" s="32" t="str">
        <x:f>D181&amp;"|"&amp;S181</x:f>
        <x:v>IC-0089|30m</x:v>
      </x:c>
      <x:c r="W181" s="32" t="str">
        <x:f>I181</x:f>
        <x:v>Visible</x:v>
      </x:c>
      <x:c r="X181" s="32" t="str">
        <x:f>R181</x:f>
        <x:v>Creator</x:v>
      </x:c>
      <x:c r="Y181" s="33" t="str">
        <x:f>T181</x:f>
        <x:v>No Verified User Reply</x:v>
      </x:c>
    </x:row>
    <x:row r="182">
      <x:c r="A182" s="49" t="n">
        <x:v>46228</x:v>
      </x:c>
      <x:c r="B182" s="32" t="str">
        <x:v>12:00</x:v>
      </x:c>
      <x:c r="C182" s="52" t="n">
        <x:v>46227</x:v>
      </x:c>
      <x:c r="D182" s="32" t="str">
        <x:v>IC-0089</x:v>
      </x:c>
      <x:c r="E182" s="32" t="str">
        <x:v>Account Slot 9</x:v>
      </x:c>
      <x:c r="F182" s="32" t="str">
        <x:v>https://video.invalid/case/V0089</x:v>
      </x:c>
      <x:c r="G182" s="32" t="str">
        <x:v>creator_case_089</x:v>
      </x:c>
      <x:c r="H182" s="32" t="str">
        <x:v>Pending</x:v>
      </x:c>
      <x:c r="I182" s="32" t="str">
        <x:v>Visible</x:v>
      </x:c>
      <x:c r="J182" s="32" t="str">
        <x:v>EVD-SYN-0089-24H</x:v>
      </x:c>
      <x:c r="K182" s="32" t="str">
        <x:v>24h verification</x:v>
      </x:c>
      <x:c r="L182" s="32" t="str">
        <x:v>None</x:v>
      </x:c>
      <x:c r="M182" s="32" t="str">
        <x:v>Pass</x:v>
      </x:c>
      <x:c r="N182" s="32" t="str">
        <x:v>มู้ด working woman แบบนี้ดูแพงและมีคาแรกเตอร์มาก รายละเอียดเล็กบนปกแบบในรูปช่วยเพิ่มคาแรกเตอร์ให้ลุคประชุมโดยยังดูสุภาพค่ะ</x:v>
      </x:c>
      <x:c r="O182" s="32" t="str">
        <x:v>มู้ด working woman แบบนี้ดูแพงและมีคาแรกเตอร์มาก รายละเอียดเล็กบนปกแบบในรูปช่วยเพิ่มคาแรกเตอร์ให้ลุคประชุมโดยยังดูสุภาพค่ะ</x:v>
      </x:c>
      <x:c r="P182" s="32" t="n">
        <x:v>1</x:v>
      </x:c>
      <x:c r="Q182" s="32" t="str">
        <x:v>Synthetic reply preview</x:v>
      </x:c>
      <x:c r="R182" s="32" t="str">
        <x:v>Creator</x:v>
      </x:c>
      <x:c r="S182" s="32" t="str">
        <x:v>24h</x:v>
      </x:c>
      <x:c r="T182" s="32" t="str">
        <x:f>IF(I182="Inconclusive","Inconclusive",IF(AND(OR(R182="User",R182="Mixed"),J182&lt;&gt;""),IF(R182="Mixed","Mixed Reply","Verified User Reply"),"No Verified User Reply"))</x:f>
        <x:v>No Verified User Reply</x:v>
      </x:c>
      <x:c r="U182" s="32" t="str">
        <x:v>BATCH-VERIFY-24H</x:v>
      </x:c>
      <x:c r="V182" s="32" t="str">
        <x:f>D182&amp;"|"&amp;S182</x:f>
        <x:v>IC-0089|24h</x:v>
      </x:c>
      <x:c r="W182" s="32" t="str">
        <x:f>I182</x:f>
        <x:v>Visible</x:v>
      </x:c>
      <x:c r="X182" s="32" t="str">
        <x:f>R182</x:f>
        <x:v>Creator</x:v>
      </x:c>
      <x:c r="Y182" s="33" t="str">
        <x:f>T182</x:f>
        <x:v>No Verified User Reply</x:v>
      </x:c>
    </x:row>
    <x:row r="183">
      <x:c r="A183" s="49" t="n">
        <x:v>46227</x:v>
      </x:c>
      <x:c r="B183" s="32" t="str">
        <x:v>12:30</x:v>
      </x:c>
      <x:c r="C183" s="52" t="n">
        <x:v>46227</x:v>
      </x:c>
      <x:c r="D183" s="32" t="str">
        <x:v>IC-0090</x:v>
      </x:c>
      <x:c r="E183" s="32" t="str">
        <x:v>Account Slot 10</x:v>
      </x:c>
      <x:c r="F183" s="32" t="str">
        <x:v>https://video.invalid/case/V0090</x:v>
      </x:c>
      <x:c r="G183" s="32" t="str">
        <x:v>creator_case_090</x:v>
      </x:c>
      <x:c r="H183" s="32" t="str">
        <x:v>Pending</x:v>
      </x:c>
      <x:c r="I183" s="32" t="str">
        <x:v>Visible</x:v>
      </x:c>
      <x:c r="J183" s="32" t="str">
        <x:v>EVD-SYN-0090-30M</x:v>
      </x:c>
      <x:c r="K183" s="32" t="str">
        <x:v>30m verification</x:v>
      </x:c>
      <x:c r="L183" s="32" t="str">
        <x:v>None</x:v>
      </x:c>
      <x:c r="M183" s="32" t="str">
        <x:v>Pass</x:v>
      </x:c>
      <x:c r="N183" s="32" t="str">
        <x:v>ลุคคาร์ดิแกนนี้น่ารักและดูแต่งตามได้จริงมากค่ะ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O183" s="32" t="str">
        <x:v>ลุคคาร์ดิแกนนี้น่ารักและดูแต่งตามได้จริงมากค่ะ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P183" s="32" t="n">
        <x:v>0</x:v>
      </x:c>
      <x:c r="Q183" s="32" t="str"/>
      <x:c r="R183" s="32" t="str">
        <x:v>None</x:v>
      </x:c>
      <x:c r="S183" s="32" t="str">
        <x:v>30m</x:v>
      </x:c>
      <x:c r="T183" s="32" t="str">
        <x:f>IF(I183="Inconclusive","Inconclusive",IF(AND(OR(R183="User",R183="Mixed"),J183&lt;&gt;""),IF(R183="Mixed","Mixed Reply","Verified User Reply"),"No Verified User Reply"))</x:f>
        <x:v>No Verified User Reply</x:v>
      </x:c>
      <x:c r="U183" s="32" t="str">
        <x:v>BATCH-VERIFY-30M</x:v>
      </x:c>
      <x:c r="V183" s="32" t="str">
        <x:f>D183&amp;"|"&amp;S183</x:f>
        <x:v>IC-0090|30m</x:v>
      </x:c>
      <x:c r="W183" s="32" t="str">
        <x:f>I183</x:f>
        <x:v>Visible</x:v>
      </x:c>
      <x:c r="X183" s="32" t="str">
        <x:f>R183</x:f>
        <x:v>None</x:v>
      </x:c>
      <x:c r="Y183" s="33" t="str">
        <x:f>T183</x:f>
        <x:v>No Verified User Reply</x:v>
      </x:c>
    </x:row>
    <x:row r="184">
      <x:c r="A184" s="49" t="n">
        <x:v>46228</x:v>
      </x:c>
      <x:c r="B184" s="32" t="str">
        <x:v>12:00</x:v>
      </x:c>
      <x:c r="C184" s="52" t="n">
        <x:v>46227</x:v>
      </x:c>
      <x:c r="D184" s="32" t="str">
        <x:v>IC-0090</x:v>
      </x:c>
      <x:c r="E184" s="32" t="str">
        <x:v>Account Slot 10</x:v>
      </x:c>
      <x:c r="F184" s="32" t="str">
        <x:v>https://video.invalid/case/V0090</x:v>
      </x:c>
      <x:c r="G184" s="32" t="str">
        <x:v>creator_case_090</x:v>
      </x:c>
      <x:c r="H184" s="32" t="str">
        <x:v>Pending</x:v>
      </x:c>
      <x:c r="I184" s="32" t="str">
        <x:v>Visible</x:v>
      </x:c>
      <x:c r="J184" s="32" t="str">
        <x:v>EVD-SYN-0090-24H</x:v>
      </x:c>
      <x:c r="K184" s="32" t="str">
        <x:v>24h verification</x:v>
      </x:c>
      <x:c r="L184" s="32" t="str">
        <x:v>None</x:v>
      </x:c>
      <x:c r="M184" s="32" t="str">
        <x:v>Pass</x:v>
      </x:c>
      <x:c r="N184" s="32" t="str">
        <x:v>ลุคคาร์ดิแกนนี้น่ารักและดูแต่งตามได้จริงมากค่ะ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O184" s="32" t="str">
        <x:v>ลุคคาร์ดิแกนนี้น่ารักและดูแต่งตามได้จริงมากค่ะ ถ้าเติมจุดเล็กตรงแนวกระดุมแบบในรูป เสื้อพื้นฐานน่าจะได้อีกมู้ดที่ดูตั้งใจขึ้น</x:v>
      </x:c>
      <x:c r="P184" s="32" t="n">
        <x:v>0</x:v>
      </x:c>
      <x:c r="Q184" s="32" t="str"/>
      <x:c r="R184" s="32" t="str">
        <x:v>None</x:v>
      </x:c>
      <x:c r="S184" s="32" t="str">
        <x:v>24h</x:v>
      </x:c>
      <x:c r="T184" s="32" t="str">
        <x:f>IF(I184="Inconclusive","Inconclusive",IF(AND(OR(R184="User",R184="Mixed"),J184&lt;&gt;""),IF(R184="Mixed","Mixed Reply","Verified User Reply"),"No Verified User Reply"))</x:f>
        <x:v>No Verified User Reply</x:v>
      </x:c>
      <x:c r="U184" s="32" t="str">
        <x:v>BATCH-VERIFY-24H</x:v>
      </x:c>
      <x:c r="V184" s="32" t="str">
        <x:f>D184&amp;"|"&amp;S184</x:f>
        <x:v>IC-0090|24h</x:v>
      </x:c>
      <x:c r="W184" s="32" t="str">
        <x:f>I184</x:f>
        <x:v>Visible</x:v>
      </x:c>
      <x:c r="X184" s="32" t="str">
        <x:f>R184</x:f>
        <x:v>None</x:v>
      </x:c>
      <x:c r="Y184" s="33" t="str">
        <x:f>T184</x:f>
        <x:v>No Verified User Reply</x:v>
      </x:c>
    </x:row>
    <x:row r="185">
      <x:c r="A185" s="49" t="n">
        <x:v>46227</x:v>
      </x:c>
      <x:c r="B185" s="32" t="str">
        <x:v>12:30</x:v>
      </x:c>
      <x:c r="C185" s="52" t="n">
        <x:v>46227</x:v>
      </x:c>
      <x:c r="D185" s="32" t="str">
        <x:v>IC-0091</x:v>
      </x:c>
      <x:c r="E185" s="32" t="str">
        <x:v>Account Slot 1</x:v>
      </x:c>
      <x:c r="F185" s="32" t="str">
        <x:v>https://video.invalid/case/V0091</x:v>
      </x:c>
      <x:c r="G185" s="32" t="str">
        <x:v>creator_case_091</x:v>
      </x:c>
      <x:c r="H185" s="32" t="str">
        <x:v>Pending</x:v>
      </x:c>
      <x:c r="I185" s="32" t="str">
        <x:v>Missing</x:v>
      </x:c>
      <x:c r="J185" s="32" t="str">
        <x:v>EVD-SYN-0091-30M</x:v>
      </x:c>
      <x:c r="K185" s="32" t="str">
        <x:v>30m verification</x:v>
      </x:c>
      <x:c r="L185" s="32" t="str">
        <x:v>None</x:v>
      </x:c>
      <x:c r="M185" s="32" t="str">
        <x:v>Pass</x:v>
      </x:c>
      <x:c r="N185" s="32" t="str">
        <x:v>ชอบความ soft ของเสื้อคลุมลุคนี้ ดูไม่เยอะแต่มีอะไรค่ะ ความวิบวับแบบเบา ๆ ในรูปทำให้เสื้อพื้นฐานดูมีคาแรกเตอร์โดยไม่ต้องใส่สร้อยเพิ่ม</x:v>
      </x:c>
      <x:c r="O185" s="32"/>
      <x:c r="P185" s="32" t="n">
        <x:v>0</x:v>
      </x:c>
      <x:c r="Q185" s="32" t="str"/>
      <x:c r="R185" s="32" t="str">
        <x:v>None</x:v>
      </x:c>
      <x:c r="S185" s="32" t="str">
        <x:v>30m</x:v>
      </x:c>
      <x:c r="T185" s="32" t="str">
        <x:f>IF(I185="Inconclusive","Inconclusive",IF(AND(OR(R185="User",R185="Mixed"),J185&lt;&gt;""),IF(R185="Mixed","Mixed Reply","Verified User Reply"),"No Verified User Reply"))</x:f>
        <x:v>No Verified User Reply</x:v>
      </x:c>
      <x:c r="U185" s="32" t="str">
        <x:v>BATCH-VERIFY-30M</x:v>
      </x:c>
      <x:c r="V185" s="32" t="str">
        <x:f>D185&amp;"|"&amp;S185</x:f>
        <x:v>IC-0091|30m</x:v>
      </x:c>
      <x:c r="W185" s="32" t="str">
        <x:f>I185</x:f>
        <x:v>Missing</x:v>
      </x:c>
      <x:c r="X185" s="32" t="str">
        <x:f>R185</x:f>
        <x:v>None</x:v>
      </x:c>
      <x:c r="Y185" s="33" t="str">
        <x:f>T185</x:f>
        <x:v>No Verified User Reply</x:v>
      </x:c>
    </x:row>
    <x:row r="186">
      <x:c r="A186" s="49" t="n">
        <x:v>46228</x:v>
      </x:c>
      <x:c r="B186" s="32" t="str">
        <x:v>12:00</x:v>
      </x:c>
      <x:c r="C186" s="52" t="n">
        <x:v>46227</x:v>
      </x:c>
      <x:c r="D186" s="32" t="str">
        <x:v>IC-0091</x:v>
      </x:c>
      <x:c r="E186" s="32" t="str">
        <x:v>Account Slot 1</x:v>
      </x:c>
      <x:c r="F186" s="32" t="str">
        <x:v>https://video.invalid/case/V0091</x:v>
      </x:c>
      <x:c r="G186" s="32" t="str">
        <x:v>creator_case_091</x:v>
      </x:c>
      <x:c r="H186" s="32" t="str">
        <x:v>Pending</x:v>
      </x:c>
      <x:c r="I186" s="32" t="str">
        <x:v>Missing</x:v>
      </x:c>
      <x:c r="J186" s="32" t="str">
        <x:v>EVD-SYN-0091-24H</x:v>
      </x:c>
      <x:c r="K186" s="32" t="str">
        <x:v>24h verification</x:v>
      </x:c>
      <x:c r="L186" s="32" t="str">
        <x:v>None</x:v>
      </x:c>
      <x:c r="M186" s="32" t="str">
        <x:v>Pass</x:v>
      </x:c>
      <x:c r="N186" s="32" t="str">
        <x:v>ชอบความ soft ของเสื้อคลุมลุคนี้ ดูไม่เยอะแต่มีอะไรค่ะ ความวิบวับแบบเบา ๆ ในรูปทำให้เสื้อพื้นฐานดูมีคาแรกเตอร์โดยไม่ต้องใส่สร้อยเพิ่ม</x:v>
      </x:c>
      <x:c r="O186" s="32"/>
      <x:c r="P186" s="32" t="n">
        <x:v>0</x:v>
      </x:c>
      <x:c r="Q186" s="32" t="str"/>
      <x:c r="R186" s="32" t="str">
        <x:v>None</x:v>
      </x:c>
      <x:c r="S186" s="32" t="str">
        <x:v>24h</x:v>
      </x:c>
      <x:c r="T186" s="32" t="str">
        <x:f>IF(I186="Inconclusive","Inconclusive",IF(AND(OR(R186="User",R186="Mixed"),J186&lt;&gt;""),IF(R186="Mixed","Mixed Reply","Verified User Reply"),"No Verified User Reply"))</x:f>
        <x:v>No Verified User Reply</x:v>
      </x:c>
      <x:c r="U186" s="32" t="str">
        <x:v>BATCH-VERIFY-24H</x:v>
      </x:c>
      <x:c r="V186" s="32" t="str">
        <x:f>D186&amp;"|"&amp;S186</x:f>
        <x:v>IC-0091|24h</x:v>
      </x:c>
      <x:c r="W186" s="32" t="str">
        <x:f>I186</x:f>
        <x:v>Missing</x:v>
      </x:c>
      <x:c r="X186" s="32" t="str">
        <x:f>R186</x:f>
        <x:v>None</x:v>
      </x:c>
      <x:c r="Y186" s="33" t="str">
        <x:f>T186</x:f>
        <x:v>No Verified User Reply</x:v>
      </x:c>
    </x:row>
    <x:row r="187">
      <x:c r="A187" s="49" t="n">
        <x:v>46227</x:v>
      </x:c>
      <x:c r="B187" s="32" t="str">
        <x:v>12:30</x:v>
      </x:c>
      <x:c r="C187" s="52" t="n">
        <x:v>46227</x:v>
      </x:c>
      <x:c r="D187" s="32" t="str">
        <x:v>IC-0092</x:v>
      </x:c>
      <x:c r="E187" s="32" t="str">
        <x:v>Account Slot 2</x:v>
      </x:c>
      <x:c r="F187" s="32" t="str">
        <x:v>https://video.invalid/case/V0092</x:v>
      </x:c>
      <x:c r="G187" s="32" t="str">
        <x:v>creator_case_092</x:v>
      </x:c>
      <x:c r="H187" s="32" t="str">
        <x:v>Pending</x:v>
      </x:c>
      <x:c r="I187" s="32" t="str">
        <x:v>Visible</x:v>
      </x:c>
      <x:c r="J187" s="32" t="str">
        <x:v>EVD-SYN-0092-30M</x:v>
      </x:c>
      <x:c r="K187" s="32" t="str">
        <x:v>30m verification</x:v>
      </x:c>
      <x:c r="L187" s="32" t="str">
        <x:v>None</x:v>
      </x:c>
      <x:c r="M187" s="32" t="str">
        <x:v>Pass</x:v>
      </x:c>
      <x:c r="N187" s="32" t="str">
        <x:v>เป็นไอเดียแต่งตัวประจำวันที่ดูดีแบบไม่ต้องคิดเยอะค่ะ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187" s="32" t="str">
        <x:v>เป็นไอเดียแต่งตัวประจำวันที่ดูดีแบบไม่ต้องคิดเยอะค่ะ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187" s="32" t="n">
        <x:v>2</x:v>
      </x:c>
      <x:c r="Q187" s="32" t="str">
        <x:v>Synthetic reply preview</x:v>
      </x:c>
      <x:c r="R187" s="32" t="str">
        <x:v>Mixed</x:v>
      </x:c>
      <x:c r="S187" s="32" t="str">
        <x:v>30m</x:v>
      </x:c>
      <x:c r="T187" s="32" t="str">
        <x:f>IF(I187="Inconclusive","Inconclusive",IF(AND(OR(R187="User",R187="Mixed"),J187&lt;&gt;""),IF(R187="Mixed","Mixed Reply","Verified User Reply"),"No Verified User Reply"))</x:f>
        <x:v>Mixed Reply</x:v>
      </x:c>
      <x:c r="U187" s="32" t="str">
        <x:v>BATCH-VERIFY-30M</x:v>
      </x:c>
      <x:c r="V187" s="32" t="str">
        <x:f>D187&amp;"|"&amp;S187</x:f>
        <x:v>IC-0092|30m</x:v>
      </x:c>
      <x:c r="W187" s="32" t="str">
        <x:f>I187</x:f>
        <x:v>Visible</x:v>
      </x:c>
      <x:c r="X187" s="32" t="str">
        <x:f>R187</x:f>
        <x:v>Mixed</x:v>
      </x:c>
      <x:c r="Y187" s="33" t="str">
        <x:f>T187</x:f>
        <x:v>Mixed Reply</x:v>
      </x:c>
    </x:row>
    <x:row r="188">
      <x:c r="A188" s="49" t="n">
        <x:v>46228</x:v>
      </x:c>
      <x:c r="B188" s="32" t="str">
        <x:v>12:00</x:v>
      </x:c>
      <x:c r="C188" s="52" t="n">
        <x:v>46227</x:v>
      </x:c>
      <x:c r="D188" s="32" t="str">
        <x:v>IC-0092</x:v>
      </x:c>
      <x:c r="E188" s="32" t="str">
        <x:v>Account Slot 2</x:v>
      </x:c>
      <x:c r="F188" s="32" t="str">
        <x:v>https://video.invalid/case/V0092</x:v>
      </x:c>
      <x:c r="G188" s="32" t="str">
        <x:v>creator_case_092</x:v>
      </x:c>
      <x:c r="H188" s="32" t="str">
        <x:v>Pending</x:v>
      </x:c>
      <x:c r="I188" s="32" t="str">
        <x:v>Visible</x:v>
      </x:c>
      <x:c r="J188" s="32" t="str">
        <x:v>EVD-SYN-0092-24H</x:v>
      </x:c>
      <x:c r="K188" s="32" t="str">
        <x:v>24h verification</x:v>
      </x:c>
      <x:c r="L188" s="32" t="str">
        <x:v>None</x:v>
      </x:c>
      <x:c r="M188" s="32" t="str">
        <x:v>Pass</x:v>
      </x:c>
      <x:c r="N188" s="32" t="str">
        <x:v>เป็นไอเดียแต่งตัวประจำวันที่ดูดีแบบไม่ต้องคิดเยอะค่ะ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O188" s="32" t="str">
        <x:v>เป็นไอเดียแต่งตัวประจำวันที่ดูดีแบบไม่ต้องคิดเยอะค่ะ วันไหนอยากแต่งเสื้อซ้ำ ลองสลับตัวครอบกระดุมแบบในรูปแทนการเพิ่มเครื่องประดับชิ้นใหญ่ดูค่ะ</x:v>
      </x:c>
      <x:c r="P188" s="32" t="n">
        <x:v>2</x:v>
      </x:c>
      <x:c r="Q188" s="32" t="str">
        <x:v>Synthetic reply preview</x:v>
      </x:c>
      <x:c r="R188" s="32" t="str">
        <x:v>Mixed</x:v>
      </x:c>
      <x:c r="S188" s="32" t="str">
        <x:v>24h</x:v>
      </x:c>
      <x:c r="T188" s="32" t="str">
        <x:f>IF(I188="Inconclusive","Inconclusive",IF(AND(OR(R188="User",R188="Mixed"),J188&lt;&gt;""),IF(R188="Mixed","Mixed Reply","Verified User Reply"),"No Verified User Reply"))</x:f>
        <x:v>Mixed Reply</x:v>
      </x:c>
      <x:c r="U188" s="32" t="str">
        <x:v>BATCH-VERIFY-24H</x:v>
      </x:c>
      <x:c r="V188" s="32" t="str">
        <x:f>D188&amp;"|"&amp;S188</x:f>
        <x:v>IC-0092|24h</x:v>
      </x:c>
      <x:c r="W188" s="32" t="str">
        <x:f>I188</x:f>
        <x:v>Visible</x:v>
      </x:c>
      <x:c r="X188" s="32" t="str">
        <x:f>R188</x:f>
        <x:v>Mixed</x:v>
      </x:c>
      <x:c r="Y188" s="33" t="str">
        <x:f>T188</x:f>
        <x:v>Mixed Reply</x:v>
      </x:c>
    </x:row>
    <x:row r="189">
      <x:c r="A189" s="49" t="n">
        <x:v>46227</x:v>
      </x:c>
      <x:c r="B189" s="32" t="str">
        <x:v>12:30</x:v>
      </x:c>
      <x:c r="C189" s="52" t="n">
        <x:v>46227</x:v>
      </x:c>
      <x:c r="D189" s="32" t="str">
        <x:v>IC-0093</x:v>
      </x:c>
      <x:c r="E189" s="32" t="str">
        <x:v>Account Slot 3</x:v>
      </x:c>
      <x:c r="F189" s="32" t="str">
        <x:v>https://video.invalid/case/V0093</x:v>
      </x:c>
      <x:c r="G189" s="32" t="str">
        <x:v>creator_case_093</x:v>
      </x:c>
      <x:c r="H189" s="32" t="str">
        <x:v>Pending</x:v>
      </x:c>
      <x:c r="I189" s="32" t="str">
        <x:v>Visible</x:v>
      </x:c>
      <x:c r="J189" s="32" t="str">
        <x:v>EVD-SYN-0093-30M</x:v>
      </x:c>
      <x:c r="K189" s="32" t="str">
        <x:v>30m verification</x:v>
      </x:c>
      <x:c r="L189" s="32" t="str">
        <x:v>None</x:v>
      </x:c>
      <x:c r="M189" s="32" t="str">
        <x:v>Pass</x:v>
      </x:c>
      <x:c r="N189" s="32" t="str">
        <x:v>โปโลลุคนี้ดูทะมัดทะแมงแต่ยังมีความละมุนอยู่ จุดเล็ก ๆ โทนชมพูแบบในรูปทำให้เสื้อขาวดูละมุนและแต่งสนุกขึ้นมาก</x:v>
      </x:c>
      <x:c r="O189" s="32" t="str">
        <x:v>โปโลลุคนี้ดูทะมัดทะแมงแต่ยังมีความละมุนอยู่ จุดเล็ก ๆ โทนชมพูแบบในรูปทำให้เสื้อขาวดูละมุนและแต่งสนุกขึ้นมาก</x:v>
      </x:c>
      <x:c r="P189" s="32" t="n">
        <x:v>0</x:v>
      </x:c>
      <x:c r="Q189" s="32" t="str"/>
      <x:c r="R189" s="32" t="str">
        <x:v>None</x:v>
      </x:c>
      <x:c r="S189" s="32" t="str">
        <x:v>30m</x:v>
      </x:c>
      <x:c r="T189" s="32" t="str">
        <x:f>IF(I189="Inconclusive","Inconclusive",IF(AND(OR(R189="User",R189="Mixed"),J189&lt;&gt;""),IF(R189="Mixed","Mixed Reply","Verified User Reply"),"No Verified User Reply"))</x:f>
        <x:v>No Verified User Reply</x:v>
      </x:c>
      <x:c r="U189" s="32" t="str">
        <x:v>BATCH-VERIFY-30M</x:v>
      </x:c>
      <x:c r="V189" s="32" t="str">
        <x:f>D189&amp;"|"&amp;S189</x:f>
        <x:v>IC-0093|30m</x:v>
      </x:c>
      <x:c r="W189" s="32" t="str">
        <x:f>I189</x:f>
        <x:v>Visible</x:v>
      </x:c>
      <x:c r="X189" s="32" t="str">
        <x:f>R189</x:f>
        <x:v>None</x:v>
      </x:c>
      <x:c r="Y189" s="33" t="str">
        <x:f>T189</x:f>
        <x:v>No Verified User Reply</x:v>
      </x:c>
    </x:row>
    <x:row r="190">
      <x:c r="A190" s="49" t="n">
        <x:v>46228</x:v>
      </x:c>
      <x:c r="B190" s="32" t="str">
        <x:v>12:00</x:v>
      </x:c>
      <x:c r="C190" s="52" t="n">
        <x:v>46227</x:v>
      </x:c>
      <x:c r="D190" s="32" t="str">
        <x:v>IC-0093</x:v>
      </x:c>
      <x:c r="E190" s="32" t="str">
        <x:v>Account Slot 3</x:v>
      </x:c>
      <x:c r="F190" s="32" t="str">
        <x:v>https://video.invalid/case/V0093</x:v>
      </x:c>
      <x:c r="G190" s="32" t="str">
        <x:v>creator_case_093</x:v>
      </x:c>
      <x:c r="H190" s="32" t="str">
        <x:v>Pending</x:v>
      </x:c>
      <x:c r="I190" s="32" t="str">
        <x:v>Visible</x:v>
      </x:c>
      <x:c r="J190" s="32" t="str">
        <x:v>EVD-SYN-0093-24H</x:v>
      </x:c>
      <x:c r="K190" s="32" t="str">
        <x:v>24h verification</x:v>
      </x:c>
      <x:c r="L190" s="32" t="str">
        <x:v>None</x:v>
      </x:c>
      <x:c r="M190" s="32" t="str">
        <x:v>Pass</x:v>
      </x:c>
      <x:c r="N190" s="32" t="str">
        <x:v>โปโลลุคนี้ดูทะมัดทะแมงแต่ยังมีความละมุนอยู่ จุดเล็ก ๆ โทนชมพูแบบในรูปทำให้เสื้อขาวดูละมุนและแต่งสนุกขึ้นมาก</x:v>
      </x:c>
      <x:c r="O190" s="32" t="str">
        <x:v>โปโลลุคนี้ดูทะมัดทะแมงแต่ยังมีความละมุนอยู่ จุดเล็ก ๆ โทนชมพูแบบในรูปทำให้เสื้อขาวดูละมุนและแต่งสนุกขึ้นมาก</x:v>
      </x:c>
      <x:c r="P190" s="32" t="n">
        <x:v>0</x:v>
      </x:c>
      <x:c r="Q190" s="32" t="str"/>
      <x:c r="R190" s="32" t="str">
        <x:v>None</x:v>
      </x:c>
      <x:c r="S190" s="32" t="str">
        <x:v>24h</x:v>
      </x:c>
      <x:c r="T190" s="32" t="str">
        <x:f>IF(I190="Inconclusive","Inconclusive",IF(AND(OR(R190="User",R190="Mixed"),J190&lt;&gt;""),IF(R190="Mixed","Mixed Reply","Verified User Reply"),"No Verified User Reply"))</x:f>
        <x:v>No Verified User Reply</x:v>
      </x:c>
      <x:c r="U190" s="32" t="str">
        <x:v>BATCH-VERIFY-24H</x:v>
      </x:c>
      <x:c r="V190" s="32" t="str">
        <x:f>D190&amp;"|"&amp;S190</x:f>
        <x:v>IC-0093|24h</x:v>
      </x:c>
      <x:c r="W190" s="32" t="str">
        <x:f>I190</x:f>
        <x:v>Visible</x:v>
      </x:c>
      <x:c r="X190" s="32" t="str">
        <x:f>R190</x:f>
        <x:v>None</x:v>
      </x:c>
      <x:c r="Y190" s="33" t="str">
        <x:f>T190</x:f>
        <x:v>No Verified User Reply</x:v>
      </x:c>
    </x:row>
    <x:row r="191">
      <x:c r="A191" s="49" t="n">
        <x:v>46227</x:v>
      </x:c>
      <x:c r="B191" s="32" t="str">
        <x:v>12:30</x:v>
      </x:c>
      <x:c r="C191" s="52" t="n">
        <x:v>46227</x:v>
      </x:c>
      <x:c r="D191" s="32" t="str">
        <x:v>IC-0094</x:v>
      </x:c>
      <x:c r="E191" s="32" t="str">
        <x:v>Account Slot 4</x:v>
      </x:c>
      <x:c r="F191" s="32" t="str">
        <x:v>https://video.invalid/case/V0094</x:v>
      </x:c>
      <x:c r="G191" s="32" t="str">
        <x:v>creator_case_094</x:v>
      </x:c>
      <x:c r="H191" s="32" t="str">
        <x:v>Pending</x:v>
      </x:c>
      <x:c r="I191" s="32" t="str">
        <x:v>Visible</x:v>
      </x:c>
      <x:c r="J191" s="32" t="str">
        <x:v>EVD-SYN-0094-30M</x:v>
      </x:c>
      <x:c r="K191" s="32" t="str">
        <x:v>30m verification</x:v>
      </x:c>
      <x:c r="L191" s="32" t="str">
        <x:v>None</x:v>
      </x:c>
      <x:c r="M191" s="32" t="str">
        <x:v>Pass</x:v>
      </x:c>
      <x:c r="N191" s="32" t="str">
        <x:v>ลุคคาร์ดิแกนนี้น่ารักและดูแต่งตามได้จริงมากค่ะ ลองใช้ดีเทลตรงคอกับข้อมือแบบในรูปดูค่ะ น่าจะช่วยให้ทั้งลุคคอมพลีตขึ้นมาก</x:v>
      </x:c>
      <x:c r="O191" s="32" t="str">
        <x:v>ลุคคาร์ดิแกนนี้น่ารักและดูแต่งตามได้จริงมากค่ะ ลองใช้ดีเทลตรงคอกับข้อมือแบบในรูปดูค่ะ น่าจะช่วยให้ทั้งลุคคอมพลีตขึ้นมาก</x:v>
      </x:c>
      <x:c r="P191" s="32" t="n">
        <x:v>0</x:v>
      </x:c>
      <x:c r="Q191" s="32" t="str"/>
      <x:c r="R191" s="32" t="str">
        <x:v>None</x:v>
      </x:c>
      <x:c r="S191" s="32" t="str">
        <x:v>30m</x:v>
      </x:c>
      <x:c r="T191" s="32" t="str">
        <x:f>IF(I191="Inconclusive","Inconclusive",IF(AND(OR(R191="User",R191="Mixed"),J191&lt;&gt;""),IF(R191="Mixed","Mixed Reply","Verified User Reply"),"No Verified User Reply"))</x:f>
        <x:v>No Verified User Reply</x:v>
      </x:c>
      <x:c r="U191" s="32" t="str">
        <x:v>BATCH-VERIFY-30M</x:v>
      </x:c>
      <x:c r="V191" s="32" t="str">
        <x:f>D191&amp;"|"&amp;S191</x:f>
        <x:v>IC-0094|30m</x:v>
      </x:c>
      <x:c r="W191" s="32" t="str">
        <x:f>I191</x:f>
        <x:v>Visible</x:v>
      </x:c>
      <x:c r="X191" s="32" t="str">
        <x:f>R191</x:f>
        <x:v>None</x:v>
      </x:c>
      <x:c r="Y191" s="33" t="str">
        <x:f>T191</x:f>
        <x:v>No Verified User Reply</x:v>
      </x:c>
    </x:row>
    <x:row r="192">
      <x:c r="A192" s="49" t="n">
        <x:v>46228</x:v>
      </x:c>
      <x:c r="B192" s="32" t="str">
        <x:v>12:00</x:v>
      </x:c>
      <x:c r="C192" s="52" t="n">
        <x:v>46227</x:v>
      </x:c>
      <x:c r="D192" s="32" t="str">
        <x:v>IC-0094</x:v>
      </x:c>
      <x:c r="E192" s="32" t="str">
        <x:v>Account Slot 4</x:v>
      </x:c>
      <x:c r="F192" s="32" t="str">
        <x:v>https://video.invalid/case/V0094</x:v>
      </x:c>
      <x:c r="G192" s="32" t="str">
        <x:v>creator_case_094</x:v>
      </x:c>
      <x:c r="H192" s="32" t="str">
        <x:v>Pending</x:v>
      </x:c>
      <x:c r="I192" s="32" t="str">
        <x:v>Visible</x:v>
      </x:c>
      <x:c r="J192" s="32" t="str">
        <x:v>EVD-SYN-0094-24H</x:v>
      </x:c>
      <x:c r="K192" s="32" t="str">
        <x:v>24h verification</x:v>
      </x:c>
      <x:c r="L192" s="32" t="str">
        <x:v>None</x:v>
      </x:c>
      <x:c r="M192" s="32" t="str">
        <x:v>Pass</x:v>
      </x:c>
      <x:c r="N192" s="32" t="str">
        <x:v>ลุคคาร์ดิแกนนี้น่ารักและดูแต่งตามได้จริงมากค่ะ ลองใช้ดีเทลตรงคอกับข้อมือแบบในรูปดูค่ะ น่าจะช่วยให้ทั้งลุคคอมพลีตขึ้นมาก</x:v>
      </x:c>
      <x:c r="O192" s="32" t="str">
        <x:v>ลุคคาร์ดิแกนนี้น่ารักและดูแต่งตามได้จริงมากค่ะ ลองใช้ดีเทลตรงคอกับข้อมือแบบในรูปดูค่ะ น่าจะช่วยให้ทั้งลุคคอมพลีตขึ้นมาก</x:v>
      </x:c>
      <x:c r="P192" s="32" t="n">
        <x:v>0</x:v>
      </x:c>
      <x:c r="Q192" s="32" t="str"/>
      <x:c r="R192" s="32" t="str">
        <x:v>None</x:v>
      </x:c>
      <x:c r="S192" s="32" t="str">
        <x:v>24h</x:v>
      </x:c>
      <x:c r="T192" s="32" t="str">
        <x:f>IF(I192="Inconclusive","Inconclusive",IF(AND(OR(R192="User",R192="Mixed"),J192&lt;&gt;""),IF(R192="Mixed","Mixed Reply","Verified User Reply"),"No Verified User Reply"))</x:f>
        <x:v>No Verified User Reply</x:v>
      </x:c>
      <x:c r="U192" s="32" t="str">
        <x:v>BATCH-VERIFY-24H</x:v>
      </x:c>
      <x:c r="V192" s="32" t="str">
        <x:f>D192&amp;"|"&amp;S192</x:f>
        <x:v>IC-0094|24h</x:v>
      </x:c>
      <x:c r="W192" s="32" t="str">
        <x:f>I192</x:f>
        <x:v>Visible</x:v>
      </x:c>
      <x:c r="X192" s="32" t="str">
        <x:f>R192</x:f>
        <x:v>None</x:v>
      </x:c>
      <x:c r="Y192" s="33" t="str">
        <x:f>T192</x:f>
        <x:v>No Verified User Reply</x:v>
      </x:c>
    </x:row>
    <x:row r="193">
      <x:c r="A193" s="49" t="n">
        <x:v>46227</x:v>
      </x:c>
      <x:c r="B193" s="32" t="str">
        <x:v>12:30</x:v>
      </x:c>
      <x:c r="C193" s="52" t="n">
        <x:v>46227</x:v>
      </x:c>
      <x:c r="D193" s="32" t="str">
        <x:v>IC-0095</x:v>
      </x:c>
      <x:c r="E193" s="32" t="str">
        <x:v>Account Slot 5</x:v>
      </x:c>
      <x:c r="F193" s="32" t="str">
        <x:v>https://video.invalid/case/V0095</x:v>
      </x:c>
      <x:c r="G193" s="32" t="str">
        <x:v>creator_case_095</x:v>
      </x:c>
      <x:c r="H193" s="32" t="str">
        <x:v>Pending</x:v>
      </x:c>
      <x:c r="I193" s="32" t="str">
        <x:v>Visible</x:v>
      </x:c>
      <x:c r="J193" s="32" t="str">
        <x:v>EVD-SYN-0095-30M</x:v>
      </x:c>
      <x:c r="K193" s="32" t="str">
        <x:v>30m verification</x:v>
      </x:c>
      <x:c r="L193" s="32" t="str">
        <x:v>None</x:v>
      </x:c>
      <x:c r="M193" s="32" t="str">
        <x:v>Pass</x:v>
      </x:c>
      <x:c r="N193" s="32" t="str">
        <x:v>OOTD นี้คุมความเรียบกับความเก๋ได้พอดีเลย ตัวครอบกระดุมโทนมุกแบบในรูปทำให้เสื้อกับเบลเซอร์ดูเชื่อมกันอย่างลงตัว</x:v>
      </x:c>
      <x:c r="O193" s="32" t="str">
        <x:v>OOTD นี้คุมความเรียบกับความเก๋ได้พอดีเลย ตัวครอบกระดุมโทนมุกแบบในรูปทำให้เสื้อกับเบลเซอร์ดูเชื่อมกันอย่างลงตัว</x:v>
      </x:c>
      <x:c r="P193" s="32" t="n">
        <x:v>0</x:v>
      </x:c>
      <x:c r="Q193" s="32" t="str"/>
      <x:c r="R193" s="32" t="str">
        <x:v>None</x:v>
      </x:c>
      <x:c r="S193" s="32" t="str">
        <x:v>30m</x:v>
      </x:c>
      <x:c r="T193" s="32" t="str">
        <x:f>IF(I193="Inconclusive","Inconclusive",IF(AND(OR(R193="User",R193="Mixed"),J193&lt;&gt;""),IF(R193="Mixed","Mixed Reply","Verified User Reply"),"No Verified User Reply"))</x:f>
        <x:v>No Verified User Reply</x:v>
      </x:c>
      <x:c r="U193" s="32" t="str">
        <x:v>BATCH-VERIFY-30M</x:v>
      </x:c>
      <x:c r="V193" s="32" t="str">
        <x:f>D193&amp;"|"&amp;S193</x:f>
        <x:v>IC-0095|30m</x:v>
      </x:c>
      <x:c r="W193" s="32" t="str">
        <x:f>I193</x:f>
        <x:v>Visible</x:v>
      </x:c>
      <x:c r="X193" s="32" t="str">
        <x:f>R193</x:f>
        <x:v>None</x:v>
      </x:c>
      <x:c r="Y193" s="33" t="str">
        <x:f>T193</x:f>
        <x:v>No Verified User Reply</x:v>
      </x:c>
    </x:row>
    <x:row r="194">
      <x:c r="A194" s="49" t="n">
        <x:v>46228</x:v>
      </x:c>
      <x:c r="B194" s="32" t="str">
        <x:v>12:00</x:v>
      </x:c>
      <x:c r="C194" s="52" t="n">
        <x:v>46227</x:v>
      </x:c>
      <x:c r="D194" s="32" t="str">
        <x:v>IC-0095</x:v>
      </x:c>
      <x:c r="E194" s="32" t="str">
        <x:v>Account Slot 5</x:v>
      </x:c>
      <x:c r="F194" s="32" t="str">
        <x:v>https://video.invalid/case/V0095</x:v>
      </x:c>
      <x:c r="G194" s="32" t="str">
        <x:v>creator_case_095</x:v>
      </x:c>
      <x:c r="H194" s="32" t="str">
        <x:v>Pending</x:v>
      </x:c>
      <x:c r="I194" s="32" t="str">
        <x:v>Missing</x:v>
      </x:c>
      <x:c r="J194" s="32" t="str">
        <x:v>EVD-SYN-0095-24H</x:v>
      </x:c>
      <x:c r="K194" s="32" t="str">
        <x:v>24h verification</x:v>
      </x:c>
      <x:c r="L194" s="32" t="str">
        <x:v>None</x:v>
      </x:c>
      <x:c r="M194" s="32" t="str">
        <x:v>Pass</x:v>
      </x:c>
      <x:c r="N194" s="32" t="str">
        <x:v>OOTD นี้คุมความเรียบกับความเก๋ได้พอดีเลย ตัวครอบกระดุมโทนมุกแบบในรูปทำให้เสื้อกับเบลเซอร์ดูเชื่อมกันอย่างลงตัว</x:v>
      </x:c>
      <x:c r="O194" s="32"/>
      <x:c r="P194" s="32" t="n">
        <x:v>0</x:v>
      </x:c>
      <x:c r="Q194" s="32" t="str"/>
      <x:c r="R194" s="32" t="str">
        <x:v>None</x:v>
      </x:c>
      <x:c r="S194" s="32" t="str">
        <x:v>24h</x:v>
      </x:c>
      <x:c r="T194" s="32" t="str">
        <x:f>IF(I194="Inconclusive","Inconclusive",IF(AND(OR(R194="User",R194="Mixed"),J194&lt;&gt;""),IF(R194="Mixed","Mixed Reply","Verified User Reply"),"No Verified User Reply"))</x:f>
        <x:v>No Verified User Reply</x:v>
      </x:c>
      <x:c r="U194" s="32" t="str">
        <x:v>BATCH-VERIFY-24H</x:v>
      </x:c>
      <x:c r="V194" s="32" t="str">
        <x:f>D194&amp;"|"&amp;S194</x:f>
        <x:v>IC-0095|24h</x:v>
      </x:c>
      <x:c r="W194" s="32" t="str">
        <x:f>I194</x:f>
        <x:v>Missing</x:v>
      </x:c>
      <x:c r="X194" s="32" t="str">
        <x:f>R194</x:f>
        <x:v>None</x:v>
      </x:c>
      <x:c r="Y194" s="33" t="str">
        <x:f>T194</x:f>
        <x:v>No Verified User Reply</x:v>
      </x:c>
    </x:row>
    <x:row r="195">
      <x:c r="A195" s="49" t="n">
        <x:v>46227</x:v>
      </x:c>
      <x:c r="B195" s="32" t="str">
        <x:v>12:30</x:v>
      </x:c>
      <x:c r="C195" s="52" t="n">
        <x:v>46227</x:v>
      </x:c>
      <x:c r="D195" s="32" t="str">
        <x:v>IC-0096</x:v>
      </x:c>
      <x:c r="E195" s="32" t="str">
        <x:v>Account Slot 6</x:v>
      </x:c>
      <x:c r="F195" s="32" t="str">
        <x:v>https://video.invalid/case/V0096</x:v>
      </x:c>
      <x:c r="G195" s="32" t="str">
        <x:v>creator_case_096</x:v>
      </x:c>
      <x:c r="H195" s="32" t="str">
        <x:v>Pending</x:v>
      </x:c>
      <x:c r="I195" s="32" t="str">
        <x:v>Visible</x:v>
      </x:c>
      <x:c r="J195" s="32" t="str">
        <x:v>EVD-SYN-0096-30M</x:v>
      </x:c>
      <x:c r="K195" s="32" t="str">
        <x:v>30m verification</x:v>
      </x:c>
      <x:c r="L195" s="32" t="str">
        <x:v>None</x:v>
      </x:c>
      <x:c r="M195" s="32" t="str">
        <x:v>Pass</x:v>
      </x:c>
      <x:c r="N195" s="32" t="str">
        <x:v>เป็นไอเดียแต่งตัวประจำวันที่ดูดีแบบไม่ต้องคิดเยอะค่ะ ถ้าจับคู่เบลเซอร์กับตัวครอบกระดุมโทนมุกแบบในรูป ลุคน่าจะ polished ขึ้นอีกนิด</x:v>
      </x:c>
      <x:c r="O195" s="32" t="str">
        <x:v>เป็นไอเดียแต่งตัวประจำวันที่ดูดีแบบไม่ต้องคิดเยอะค่ะ ถ้าจับคู่เบลเซอร์กับตัวครอบกระดุมโทนมุกแบบในรูป ลุคน่าจะ polished ขึ้นอีกนิด</x:v>
      </x:c>
      <x:c r="P195" s="32" t="n">
        <x:v>0</x:v>
      </x:c>
      <x:c r="Q195" s="32" t="str"/>
      <x:c r="R195" s="32" t="str">
        <x:v>None</x:v>
      </x:c>
      <x:c r="S195" s="32" t="str">
        <x:v>30m</x:v>
      </x:c>
      <x:c r="T195" s="32" t="str">
        <x:f>IF(I195="Inconclusive","Inconclusive",IF(AND(OR(R195="User",R195="Mixed"),J195&lt;&gt;""),IF(R195="Mixed","Mixed Reply","Verified User Reply"),"No Verified User Reply"))</x:f>
        <x:v>No Verified User Reply</x:v>
      </x:c>
      <x:c r="U195" s="32" t="str">
        <x:v>BATCH-VERIFY-30M</x:v>
      </x:c>
      <x:c r="V195" s="32" t="str">
        <x:f>D195&amp;"|"&amp;S195</x:f>
        <x:v>IC-0096|30m</x:v>
      </x:c>
      <x:c r="W195" s="32" t="str">
        <x:f>I195</x:f>
        <x:v>Visible</x:v>
      </x:c>
      <x:c r="X195" s="32" t="str">
        <x:f>R195</x:f>
        <x:v>None</x:v>
      </x:c>
      <x:c r="Y195" s="33" t="str">
        <x:f>T195</x:f>
        <x:v>No Verified User Reply</x:v>
      </x:c>
    </x:row>
    <x:row r="196">
      <x:c r="A196" s="49" t="n">
        <x:v>46228</x:v>
      </x:c>
      <x:c r="B196" s="32" t="str">
        <x:v>12:00</x:v>
      </x:c>
      <x:c r="C196" s="52" t="n">
        <x:v>46227</x:v>
      </x:c>
      <x:c r="D196" s="32" t="str">
        <x:v>IC-0096</x:v>
      </x:c>
      <x:c r="E196" s="32" t="str">
        <x:v>Account Slot 6</x:v>
      </x:c>
      <x:c r="F196" s="32" t="str">
        <x:v>https://video.invalid/case/V0096</x:v>
      </x:c>
      <x:c r="G196" s="32" t="str">
        <x:v>creator_case_096</x:v>
      </x:c>
      <x:c r="H196" s="32" t="str">
        <x:v>Pending</x:v>
      </x:c>
      <x:c r="I196" s="32" t="str">
        <x:v>Missing</x:v>
      </x:c>
      <x:c r="J196" s="32" t="str">
        <x:v>EVD-SYN-0096-24H</x:v>
      </x:c>
      <x:c r="K196" s="32" t="str">
        <x:v>24h verification</x:v>
      </x:c>
      <x:c r="L196" s="32" t="str">
        <x:v>None</x:v>
      </x:c>
      <x:c r="M196" s="32" t="str">
        <x:v>Pass</x:v>
      </x:c>
      <x:c r="N196" s="32" t="str">
        <x:v>เป็นไอเดียแต่งตัวประจำวันที่ดูดีแบบไม่ต้องคิดเยอะค่ะ ถ้าจับคู่เบลเซอร์กับตัวครอบกระดุมโทนมุกแบบในรูป ลุคน่าจะ polished ขึ้นอีกนิด</x:v>
      </x:c>
      <x:c r="O196" s="32"/>
      <x:c r="P196" s="32" t="n">
        <x:v>0</x:v>
      </x:c>
      <x:c r="Q196" s="32" t="str"/>
      <x:c r="R196" s="32" t="str">
        <x:v>None</x:v>
      </x:c>
      <x:c r="S196" s="32" t="str">
        <x:v>24h</x:v>
      </x:c>
      <x:c r="T196" s="32" t="str">
        <x:f>IF(I196="Inconclusive","Inconclusive",IF(AND(OR(R196="User",R196="Mixed"),J196&lt;&gt;""),IF(R196="Mixed","Mixed Reply","Verified User Reply"),"No Verified User Reply"))</x:f>
        <x:v>No Verified User Reply</x:v>
      </x:c>
      <x:c r="U196" s="32" t="str">
        <x:v>BATCH-VERIFY-24H</x:v>
      </x:c>
      <x:c r="V196" s="32" t="str">
        <x:f>D196&amp;"|"&amp;S196</x:f>
        <x:v>IC-0096|24h</x:v>
      </x:c>
      <x:c r="W196" s="32" t="str">
        <x:f>I196</x:f>
        <x:v>Missing</x:v>
      </x:c>
      <x:c r="X196" s="32" t="str">
        <x:f>R196</x:f>
        <x:v>None</x:v>
      </x:c>
      <x:c r="Y196" s="33" t="str">
        <x:f>T196</x:f>
        <x:v>No Verified User Reply</x:v>
      </x:c>
    </x:row>
    <x:row r="197">
      <x:c r="A197" s="49" t="n">
        <x:v>46227</x:v>
      </x:c>
      <x:c r="B197" s="32" t="str">
        <x:v>12:30</x:v>
      </x:c>
      <x:c r="C197" s="52" t="n">
        <x:v>46227</x:v>
      </x:c>
      <x:c r="D197" s="32" t="str">
        <x:v>IC-0097</x:v>
      </x:c>
      <x:c r="E197" s="32" t="str">
        <x:v>Account Slot 7</x:v>
      </x:c>
      <x:c r="F197" s="32" t="str">
        <x:v>https://video.invalid/case/V0097</x:v>
      </x:c>
      <x:c r="G197" s="32" t="str">
        <x:v>creator_case_097</x:v>
      </x:c>
      <x:c r="H197" s="32" t="str">
        <x:v>Pending</x:v>
      </x:c>
      <x:c r="I197" s="32" t="str">
        <x:v>Visible</x:v>
      </x:c>
      <x:c r="J197" s="32" t="str">
        <x:v>EVD-SYN-0097-30M</x:v>
      </x:c>
      <x:c r="K197" s="32" t="str">
        <x:v>30m verification</x:v>
      </x:c>
      <x:c r="L197" s="32" t="str">
        <x:v>None</x:v>
      </x:c>
      <x:c r="M197" s="32" t="str">
        <x:v>Pass</x:v>
      </x:c>
      <x:c r="N197" s="32" t="str">
        <x:v>ชุดนี้แต่งตามง่ายและเหมาะกับหลายโอกาสจริงค่ะ พอมีตัวครอบกระดุมชิ้นเล็กแบบในรูป ช่วงคอกับข้อมือก็ดูตั้งใจขึ้นทันที</x:v>
      </x:c>
      <x:c r="O197" s="32" t="str">
        <x:v>ชุดนี้แต่งตามง่ายและเหมาะกับหลายโอกาสจริงค่ะ พอมีตัวครอบกระดุมชิ้นเล็กแบบในรูป ช่วงคอกับข้อมือก็ดูตั้งใจขึ้นทันที</x:v>
      </x:c>
      <x:c r="P197" s="32" t="n">
        <x:v>0</x:v>
      </x:c>
      <x:c r="Q197" s="32" t="str"/>
      <x:c r="R197" s="32" t="str">
        <x:v>None</x:v>
      </x:c>
      <x:c r="S197" s="32" t="str">
        <x:v>30m</x:v>
      </x:c>
      <x:c r="T197" s="32" t="str">
        <x:f>IF(I197="Inconclusive","Inconclusive",IF(AND(OR(R197="User",R197="Mixed"),J197&lt;&gt;""),IF(R197="Mixed","Mixed Reply","Verified User Reply"),"No Verified User Reply"))</x:f>
        <x:v>No Verified User Reply</x:v>
      </x:c>
      <x:c r="U197" s="32" t="str">
        <x:v>BATCH-VERIFY-30M</x:v>
      </x:c>
      <x:c r="V197" s="32" t="str">
        <x:f>D197&amp;"|"&amp;S197</x:f>
        <x:v>IC-0097|30m</x:v>
      </x:c>
      <x:c r="W197" s="32" t="str">
        <x:f>I197</x:f>
        <x:v>Visible</x:v>
      </x:c>
      <x:c r="X197" s="32" t="str">
        <x:f>R197</x:f>
        <x:v>None</x:v>
      </x:c>
      <x:c r="Y197" s="33" t="str">
        <x:f>T197</x:f>
        <x:v>No Verified User Reply</x:v>
      </x:c>
    </x:row>
    <x:row r="198">
      <x:c r="A198" s="49" t="n">
        <x:v>46228</x:v>
      </x:c>
      <x:c r="B198" s="32" t="str">
        <x:v>12:00</x:v>
      </x:c>
      <x:c r="C198" s="52" t="n">
        <x:v>46227</x:v>
      </x:c>
      <x:c r="D198" s="32" t="str">
        <x:v>IC-0097</x:v>
      </x:c>
      <x:c r="E198" s="32" t="str">
        <x:v>Account Slot 7</x:v>
      </x:c>
      <x:c r="F198" s="32" t="str">
        <x:v>https://video.invalid/case/V0097</x:v>
      </x:c>
      <x:c r="G198" s="32" t="str">
        <x:v>creator_case_097</x:v>
      </x:c>
      <x:c r="H198" s="32" t="str">
        <x:v>Pending</x:v>
      </x:c>
      <x:c r="I198" s="32" t="str">
        <x:v>Visible</x:v>
      </x:c>
      <x:c r="J198" s="32" t="str">
        <x:v>EVD-SYN-0097-24H</x:v>
      </x:c>
      <x:c r="K198" s="32" t="str">
        <x:v>24h verification</x:v>
      </x:c>
      <x:c r="L198" s="32" t="str">
        <x:v>None</x:v>
      </x:c>
      <x:c r="M198" s="32" t="str">
        <x:v>Pass</x:v>
      </x:c>
      <x:c r="N198" s="32" t="str">
        <x:v>ชุดนี้แต่งตามง่ายและเหมาะกับหลายโอกาสจริงค่ะ พอมีตัวครอบกระดุมชิ้นเล็กแบบในรูป ช่วงคอกับข้อมือก็ดูตั้งใจขึ้นทันที</x:v>
      </x:c>
      <x:c r="O198" s="32" t="str">
        <x:v>ชุดนี้แต่งตามง่ายและเหมาะกับหลายโอกาสจริงค่ะ พอมีตัวครอบกระดุมชิ้นเล็กแบบในรูป ช่วงคอกับข้อมือก็ดูตั้งใจขึ้นทันที</x:v>
      </x:c>
      <x:c r="P198" s="32" t="n">
        <x:v>0</x:v>
      </x:c>
      <x:c r="Q198" s="32" t="str"/>
      <x:c r="R198" s="32" t="str">
        <x:v>None</x:v>
      </x:c>
      <x:c r="S198" s="32" t="str">
        <x:v>24h</x:v>
      </x:c>
      <x:c r="T198" s="32" t="str">
        <x:f>IF(I198="Inconclusive","Inconclusive",IF(AND(OR(R198="User",R198="Mixed"),J198&lt;&gt;""),IF(R198="Mixed","Mixed Reply","Verified User Reply"),"No Verified User Reply"))</x:f>
        <x:v>No Verified User Reply</x:v>
      </x:c>
      <x:c r="U198" s="32" t="str">
        <x:v>BATCH-VERIFY-24H</x:v>
      </x:c>
      <x:c r="V198" s="32" t="str">
        <x:f>D198&amp;"|"&amp;S198</x:f>
        <x:v>IC-0097|24h</x:v>
      </x:c>
      <x:c r="W198" s="32" t="str">
        <x:f>I198</x:f>
        <x:v>Visible</x:v>
      </x:c>
      <x:c r="X198" s="32" t="str">
        <x:f>R198</x:f>
        <x:v>None</x:v>
      </x:c>
      <x:c r="Y198" s="33" t="str">
        <x:f>T198</x:f>
        <x:v>No Verified User Reply</x:v>
      </x:c>
    </x:row>
    <x:row r="199">
      <x:c r="A199" s="49" t="n">
        <x:v>46227</x:v>
      </x:c>
      <x:c r="B199" s="32" t="str">
        <x:v>12:30</x:v>
      </x:c>
      <x:c r="C199" s="52" t="n">
        <x:v>46227</x:v>
      </x:c>
      <x:c r="D199" s="32" t="str">
        <x:v>IC-0098</x:v>
      </x:c>
      <x:c r="E199" s="32" t="str">
        <x:v>Account Slot 8</x:v>
      </x:c>
      <x:c r="F199" s="32" t="str">
        <x:v>https://video.invalid/case/V0098</x:v>
      </x:c>
      <x:c r="G199" s="32" t="str">
        <x:v>creator_case_098</x:v>
      </x:c>
      <x:c r="H199" s="32" t="str">
        <x:v>Pending</x:v>
      </x:c>
      <x:c r="I199" s="32" t="str">
        <x:v>Visible</x:v>
      </x:c>
      <x:c r="J199" s="32" t="str">
        <x:v>EVD-SYN-0098-30M</x:v>
      </x:c>
      <x:c r="K199" s="32" t="str">
        <x:v>30m verification</x:v>
      </x:c>
      <x:c r="L199" s="32" t="str">
        <x:v>None</x:v>
      </x:c>
      <x:c r="M199" s="32" t="str">
        <x:v>Pass</x:v>
      </x:c>
      <x:c r="N199" s="32" t="str">
        <x:v>เลเยอร์แบบนี้ทำให้ชุดดูมีมิติโดยยังสบายตาอยู่ ถ้าอยากเปลี่ยนฟีลเสื้อตัวเดิม ลองเติมตัวครอบกระดุมตรงคอหรือปลายแขนแบบในรูปดูค่ะ</x:v>
      </x:c>
      <x:c r="O199" s="32" t="str">
        <x:v>เลเยอร์แบบนี้ทำให้ชุดดูมีมิติโดยยังสบายตาอยู่ ถ้าอยากเปลี่ยนฟีลเสื้อตัวเดิม ลองเติมตัวครอบกระดุมตรงคอหรือปลายแขนแบบในรูปดูค่ะ</x:v>
      </x:c>
      <x:c r="P199" s="32" t="n">
        <x:v>0</x:v>
      </x:c>
      <x:c r="Q199" s="32" t="str"/>
      <x:c r="R199" s="32" t="str">
        <x:v>None</x:v>
      </x:c>
      <x:c r="S199" s="32" t="str">
        <x:v>30m</x:v>
      </x:c>
      <x:c r="T199" s="32" t="str">
        <x:f>IF(I199="Inconclusive","Inconclusive",IF(AND(OR(R199="User",R199="Mixed"),J199&lt;&gt;""),IF(R199="Mixed","Mixed Reply","Verified User Reply"),"No Verified User Reply"))</x:f>
        <x:v>No Verified User Reply</x:v>
      </x:c>
      <x:c r="U199" s="32" t="str">
        <x:v>BATCH-VERIFY-30M</x:v>
      </x:c>
      <x:c r="V199" s="32" t="str">
        <x:f>D199&amp;"|"&amp;S199</x:f>
        <x:v>IC-0098|30m</x:v>
      </x:c>
      <x:c r="W199" s="32" t="str">
        <x:f>I199</x:f>
        <x:v>Visible</x:v>
      </x:c>
      <x:c r="X199" s="32" t="str">
        <x:f>R199</x:f>
        <x:v>None</x:v>
      </x:c>
      <x:c r="Y199" s="33" t="str">
        <x:f>T199</x:f>
        <x:v>No Verified User Reply</x:v>
      </x:c>
    </x:row>
    <x:row r="200">
      <x:c r="A200" s="49" t="n">
        <x:v>46228</x:v>
      </x:c>
      <x:c r="B200" s="32" t="str">
        <x:v>12:00</x:v>
      </x:c>
      <x:c r="C200" s="52" t="n">
        <x:v>46227</x:v>
      </x:c>
      <x:c r="D200" s="32" t="str">
        <x:v>IC-0098</x:v>
      </x:c>
      <x:c r="E200" s="32" t="str">
        <x:v>Account Slot 8</x:v>
      </x:c>
      <x:c r="F200" s="32" t="str">
        <x:v>https://video.invalid/case/V0098</x:v>
      </x:c>
      <x:c r="G200" s="32" t="str">
        <x:v>creator_case_098</x:v>
      </x:c>
      <x:c r="H200" s="32" t="str">
        <x:v>Pending</x:v>
      </x:c>
      <x:c r="I200" s="32" t="str">
        <x:v>Visible</x:v>
      </x:c>
      <x:c r="J200" s="32" t="str">
        <x:v>EVD-SYN-0098-24H</x:v>
      </x:c>
      <x:c r="K200" s="32" t="str">
        <x:v>24h verification</x:v>
      </x:c>
      <x:c r="L200" s="32" t="str">
        <x:v>None</x:v>
      </x:c>
      <x:c r="M200" s="32" t="str">
        <x:v>Pass</x:v>
      </x:c>
      <x:c r="N200" s="32" t="str">
        <x:v>เลเยอร์แบบนี้ทำให้ชุดดูมีมิติโดยยังสบายตาอยู่ ถ้าอยากเปลี่ยนฟีลเสื้อตัวเดิม ลองเติมตัวครอบกระดุมตรงคอหรือปลายแขนแบบในรูปดูค่ะ</x:v>
      </x:c>
      <x:c r="O200" s="32" t="str">
        <x:v>เลเยอร์แบบนี้ทำให้ชุดดูมีมิติโดยยังสบายตาอยู่ ถ้าอยากเปลี่ยนฟีลเสื้อตัวเดิม ลองเติมตัวครอบกระดุมตรงคอหรือปลายแขนแบบในรูปดูค่ะ</x:v>
      </x:c>
      <x:c r="P200" s="32" t="n">
        <x:v>0</x:v>
      </x:c>
      <x:c r="Q200" s="32" t="str"/>
      <x:c r="R200" s="32" t="str">
        <x:v>None</x:v>
      </x:c>
      <x:c r="S200" s="32" t="str">
        <x:v>24h</x:v>
      </x:c>
      <x:c r="T200" s="32" t="str">
        <x:f>IF(I200="Inconclusive","Inconclusive",IF(AND(OR(R200="User",R200="Mixed"),J200&lt;&gt;""),IF(R200="Mixed","Mixed Reply","Verified User Reply"),"No Verified User Reply"))</x:f>
        <x:v>No Verified User Reply</x:v>
      </x:c>
      <x:c r="U200" s="32" t="str">
        <x:v>BATCH-VERIFY-24H</x:v>
      </x:c>
      <x:c r="V200" s="32" t="str">
        <x:f>D200&amp;"|"&amp;S200</x:f>
        <x:v>IC-0098|24h</x:v>
      </x:c>
      <x:c r="W200" s="32" t="str">
        <x:f>I200</x:f>
        <x:v>Visible</x:v>
      </x:c>
      <x:c r="X200" s="32" t="str">
        <x:f>R200</x:f>
        <x:v>None</x:v>
      </x:c>
      <x:c r="Y200" s="33" t="str">
        <x:f>T200</x:f>
        <x:v>No Verified User Reply</x:v>
      </x:c>
    </x:row>
    <x:row r="201">
      <x:c r="A201" s="49" t="n">
        <x:v>46227</x:v>
      </x:c>
      <x:c r="B201" s="32" t="str">
        <x:v>12:30</x:v>
      </x:c>
      <x:c r="C201" s="52" t="n">
        <x:v>46227</x:v>
      </x:c>
      <x:c r="D201" s="32" t="str">
        <x:v>IC-0099</x:v>
      </x:c>
      <x:c r="E201" s="32" t="str">
        <x:v>Account Slot 9</x:v>
      </x:c>
      <x:c r="F201" s="32" t="str">
        <x:v>https://video.invalid/case/V0099</x:v>
      </x:c>
      <x:c r="G201" s="32" t="str">
        <x:v>creator_case_099</x:v>
      </x:c>
      <x:c r="H201" s="32" t="str">
        <x:v>Pending</x:v>
      </x:c>
      <x:c r="I201" s="32" t="str">
        <x:v>Visible</x:v>
      </x:c>
      <x:c r="J201" s="32" t="str">
        <x:v>EVD-SYN-0099-30M</x:v>
      </x:c>
      <x:c r="K201" s="32" t="str">
        <x:v>30m verification</x:v>
      </x:c>
      <x:c r="L201" s="32" t="str">
        <x:v>None</x:v>
      </x:c>
      <x:c r="M201" s="32" t="str">
        <x:v>Pass</x:v>
      </x:c>
      <x:c r="N201" s="32" t="str">
        <x:v>โปโลทรงนี้ให้ฟีลเรียบแต่ไม่ธรรมดาดีค่ะ จุดเล็ก ๆ โทนชมพูแบบในรูปทำให้เสื้อขาวดูละมุนและแต่งสนุกขึ้นมาก</x:v>
      </x:c>
      <x:c r="O201" s="32" t="str">
        <x:v>โปโลทรงนี้ให้ฟีลเรียบแต่ไม่ธรรมดาดีค่ะ จุดเล็ก ๆ โทนชมพูแบบในรูปทำให้เสื้อขาวดูละมุนและแต่งสนุกขึ้นมาก</x:v>
      </x:c>
      <x:c r="P201" s="32" t="n">
        <x:v>1</x:v>
      </x:c>
      <x:c r="Q201" s="32" t="str">
        <x:v>Synthetic reply preview</x:v>
      </x:c>
      <x:c r="R201" s="32" t="str">
        <x:v>User</x:v>
      </x:c>
      <x:c r="S201" s="32" t="str">
        <x:v>30m</x:v>
      </x:c>
      <x:c r="T201" s="32" t="str">
        <x:f>IF(I201="Inconclusive","Inconclusive",IF(AND(OR(R201="User",R201="Mixed"),J201&lt;&gt;""),IF(R201="Mixed","Mixed Reply","Verified User Reply"),"No Verified User Reply"))</x:f>
        <x:v>Verified User Reply</x:v>
      </x:c>
      <x:c r="U201" s="32" t="str">
        <x:v>BATCH-VERIFY-30M</x:v>
      </x:c>
      <x:c r="V201" s="32" t="str">
        <x:f>D201&amp;"|"&amp;S201</x:f>
        <x:v>IC-0099|30m</x:v>
      </x:c>
      <x:c r="W201" s="32" t="str">
        <x:f>I201</x:f>
        <x:v>Visible</x:v>
      </x:c>
      <x:c r="X201" s="32" t="str">
        <x:f>R201</x:f>
        <x:v>User</x:v>
      </x:c>
      <x:c r="Y201" s="33" t="str">
        <x:f>T201</x:f>
        <x:v>Verified User Reply</x:v>
      </x:c>
    </x:row>
    <x:row r="202">
      <x:c r="A202" s="49" t="n">
        <x:v>46228</x:v>
      </x:c>
      <x:c r="B202" s="32" t="str">
        <x:v>12:00</x:v>
      </x:c>
      <x:c r="C202" s="52" t="n">
        <x:v>46227</x:v>
      </x:c>
      <x:c r="D202" s="32" t="str">
        <x:v>IC-0099</x:v>
      </x:c>
      <x:c r="E202" s="32" t="str">
        <x:v>Account Slot 9</x:v>
      </x:c>
      <x:c r="F202" s="32" t="str">
        <x:v>https://video.invalid/case/V0099</x:v>
      </x:c>
      <x:c r="G202" s="32" t="str">
        <x:v>creator_case_099</x:v>
      </x:c>
      <x:c r="H202" s="32" t="str">
        <x:v>Pending</x:v>
      </x:c>
      <x:c r="I202" s="32" t="str">
        <x:v>Visible</x:v>
      </x:c>
      <x:c r="J202" s="32" t="str">
        <x:v>EVD-SYN-0099-24H</x:v>
      </x:c>
      <x:c r="K202" s="32" t="str">
        <x:v>24h verification</x:v>
      </x:c>
      <x:c r="L202" s="32" t="str">
        <x:v>None</x:v>
      </x:c>
      <x:c r="M202" s="32" t="str">
        <x:v>Pass</x:v>
      </x:c>
      <x:c r="N202" s="32" t="str">
        <x:v>โปโลทรงนี้ให้ฟีลเรียบแต่ไม่ธรรมดาดีค่ะ จุดเล็ก ๆ โทนชมพูแบบในรูปทำให้เสื้อขาวดูละมุนและแต่งสนุกขึ้นมาก</x:v>
      </x:c>
      <x:c r="O202" s="32" t="str">
        <x:v>โปโลทรงนี้ให้ฟีลเรียบแต่ไม่ธรรมดาดีค่ะ จุดเล็ก ๆ โทนชมพูแบบในรูปทำให้เสื้อขาวดูละมุนและแต่งสนุกขึ้นมาก</x:v>
      </x:c>
      <x:c r="P202" s="32" t="n">
        <x:v>1</x:v>
      </x:c>
      <x:c r="Q202" s="32" t="str">
        <x:v>Synthetic reply preview</x:v>
      </x:c>
      <x:c r="R202" s="32" t="str">
        <x:v>User</x:v>
      </x:c>
      <x:c r="S202" s="32" t="str">
        <x:v>24h</x:v>
      </x:c>
      <x:c r="T202" s="32" t="str">
        <x:f>IF(I202="Inconclusive","Inconclusive",IF(AND(OR(R202="User",R202="Mixed"),J202&lt;&gt;""),IF(R202="Mixed","Mixed Reply","Verified User Reply"),"No Verified User Reply"))</x:f>
        <x:v>Verified User Reply</x:v>
      </x:c>
      <x:c r="U202" s="32" t="str">
        <x:v>BATCH-VERIFY-24H</x:v>
      </x:c>
      <x:c r="V202" s="32" t="str">
        <x:f>D202&amp;"|"&amp;S202</x:f>
        <x:v>IC-0099|24h</x:v>
      </x:c>
      <x:c r="W202" s="32" t="str">
        <x:f>I202</x:f>
        <x:v>Visible</x:v>
      </x:c>
      <x:c r="X202" s="32" t="str">
        <x:f>R202</x:f>
        <x:v>User</x:v>
      </x:c>
      <x:c r="Y202" s="33" t="str">
        <x:f>T202</x:f>
        <x:v>Verified User Reply</x:v>
      </x:c>
    </x:row>
    <x:row r="203">
      <x:c r="A203" s="49" t="n">
        <x:v>46227</x:v>
      </x:c>
      <x:c r="B203" s="32" t="str">
        <x:v>12:30</x:v>
      </x:c>
      <x:c r="C203" s="52" t="n">
        <x:v>46227</x:v>
      </x:c>
      <x:c r="D203" s="32" t="str">
        <x:v>IC-0100</x:v>
      </x:c>
      <x:c r="E203" s="32" t="str">
        <x:v>Account Slot 10</x:v>
      </x:c>
      <x:c r="F203" s="32" t="str">
        <x:v>https://video.invalid/case/V0100</x:v>
      </x:c>
      <x:c r="G203" s="32" t="str">
        <x:v>creator_case_100</x:v>
      </x:c>
      <x:c r="H203" s="32" t="str">
        <x:v>Pending</x:v>
      </x:c>
      <x:c r="I203" s="32" t="str">
        <x:v>Missing</x:v>
      </x:c>
      <x:c r="J203" s="32" t="str">
        <x:v>EVD-SYN-0100-30M</x:v>
      </x:c>
      <x:c r="K203" s="32" t="str">
        <x:v>30m verification</x:v>
      </x:c>
      <x:c r="L203" s="32" t="str">
        <x:v>None</x:v>
      </x:c>
      <x:c r="M203" s="32" t="str">
        <x:v>Pass</x:v>
      </x:c>
      <x:c r="N203" s="32" t="str">
        <x:v>ชอบความ polished ของชุดนี้ ดูมั่นใจมากเลย ถ้าเติมจุดเล็กบนปกสูทแบบในรูป ชุดทำงานเดิมน่าจะได้มู้ดใหม่ที่ละมุนขึ้นค่ะ</x:v>
      </x:c>
      <x:c r="O203" s="32"/>
      <x:c r="P203" s="32" t="n">
        <x:v>0</x:v>
      </x:c>
      <x:c r="Q203" s="32" t="str"/>
      <x:c r="R203" s="32" t="str">
        <x:v>None</x:v>
      </x:c>
      <x:c r="S203" s="32" t="str">
        <x:v>30m</x:v>
      </x:c>
      <x:c r="T203" s="32" t="str">
        <x:f>IF(I203="Inconclusive","Inconclusive",IF(AND(OR(R203="User",R203="Mixed"),J203&lt;&gt;""),IF(R203="Mixed","Mixed Reply","Verified User Reply"),"No Verified User Reply"))</x:f>
        <x:v>No Verified User Reply</x:v>
      </x:c>
      <x:c r="U203" s="32" t="str">
        <x:v>BATCH-VERIFY-30M</x:v>
      </x:c>
      <x:c r="V203" s="32" t="str">
        <x:f>D203&amp;"|"&amp;S203</x:f>
        <x:v>IC-0100|30m</x:v>
      </x:c>
      <x:c r="W203" s="32" t="str">
        <x:f>I203</x:f>
        <x:v>Missing</x:v>
      </x:c>
      <x:c r="X203" s="32" t="str">
        <x:f>R203</x:f>
        <x:v>None</x:v>
      </x:c>
      <x:c r="Y203" s="33" t="str">
        <x:f>T203</x:f>
        <x:v>No Verified User Reply</x:v>
      </x:c>
    </x:row>
    <x:row r="204">
      <x:c r="A204" s="50" t="n">
        <x:v>46228</x:v>
      </x:c>
      <x:c r="B204" s="35" t="str">
        <x:v>12:00</x:v>
      </x:c>
      <x:c r="C204" s="53" t="n">
        <x:v>46227</x:v>
      </x:c>
      <x:c r="D204" s="35" t="str">
        <x:v>IC-0100</x:v>
      </x:c>
      <x:c r="E204" s="35" t="str">
        <x:v>Account Slot 10</x:v>
      </x:c>
      <x:c r="F204" s="35" t="str">
        <x:v>https://video.invalid/case/V0100</x:v>
      </x:c>
      <x:c r="G204" s="35" t="str">
        <x:v>creator_case_100</x:v>
      </x:c>
      <x:c r="H204" s="35" t="str">
        <x:v>Pending</x:v>
      </x:c>
      <x:c r="I204" s="35" t="str">
        <x:v>Visible</x:v>
      </x:c>
      <x:c r="J204" s="35" t="str">
        <x:v>EVD-SYN-0100-24H</x:v>
      </x:c>
      <x:c r="K204" s="35" t="str">
        <x:v>24h verification</x:v>
      </x:c>
      <x:c r="L204" s="35" t="str">
        <x:v>None</x:v>
      </x:c>
      <x:c r="M204" s="35" t="str">
        <x:v>Pass</x:v>
      </x:c>
      <x:c r="N204" s="35" t="str">
        <x:v>ชอบความ polished ของชุดนี้ ดูมั่นใจมากเลย ถ้าเติมจุดเล็กบนปกสูทแบบในรูป ชุดทำงานเดิมน่าจะได้มู้ดใหม่ที่ละมุนขึ้นค่ะ</x:v>
      </x:c>
      <x:c r="O204" s="35" t="str">
        <x:v>ชอบความ polished ของชุดนี้ ดูมั่นใจมากเลย ถ้าเติมจุดเล็กบนปกสูทแบบในรูป ชุดทำงานเดิมน่าจะได้มู้ดใหม่ที่ละมุนขึ้นค่ะ</x:v>
      </x:c>
      <x:c r="P204" s="35" t="n">
        <x:v>1</x:v>
      </x:c>
      <x:c r="Q204" s="35" t="str">
        <x:v>Synthetic reply preview</x:v>
      </x:c>
      <x:c r="R204" s="35" t="str">
        <x:v>Creator</x:v>
      </x:c>
      <x:c r="S204" s="35" t="str">
        <x:v>24h</x:v>
      </x:c>
      <x:c r="T204" s="35" t="str">
        <x:f>IF(I204="Inconclusive","Inconclusive",IF(AND(OR(R204="User",R204="Mixed"),J204&lt;&gt;""),IF(R204="Mixed","Mixed Reply","Verified User Reply"),"No Verified User Reply"))</x:f>
        <x:v>No Verified User Reply</x:v>
      </x:c>
      <x:c r="U204" s="35" t="str">
        <x:v>BATCH-VERIFY-24H</x:v>
      </x:c>
      <x:c r="V204" s="35" t="str">
        <x:f>D204&amp;"|"&amp;S204</x:f>
        <x:v>IC-0100|24h</x:v>
      </x:c>
      <x:c r="W204" s="35" t="str">
        <x:f>I204</x:f>
        <x:v>Visible</x:v>
      </x:c>
      <x:c r="X204" s="35" t="str">
        <x:f>R204</x:f>
        <x:v>Creator</x:v>
      </x:c>
      <x:c r="Y204" s="36" t="str">
        <x:f>T204</x:f>
        <x:v>No Verified User Reply</x:v>
      </x:c>
    </x:row>
  </x:sheetData>
  <x:mergeCells>
    <x:mergeCell ref="A1:H1"/>
    <x:mergeCell ref="A2:H2"/>
  </x:mergeCells>
  <x:conditionalFormatting sqref="I5:I204">
    <x:cfRule type="containsText" dxfId="13" priority="1" operator="containsText" text="Visible"/>
    <x:cfRule type="containsText" dxfId="14" priority="2" operator="containsText" text="Missing"/>
    <x:cfRule type="containsText" dxfId="15" priority="3" operator="containsText" text="Inconclusive"/>
  </x:conditionalFormatting>
  <x:dataValidations count="3">
    <x:dataValidation type="list" sqref="I5:I204">
      <x:formula1>"Visible,Missing,Inconclusive"</x:formula1>
    </x:dataValidation>
    <x:dataValidation type="list" sqref="R5:R204">
      <x:formula1>"User,Creator,Mixed,None,"</x:formula1>
    </x:dataValidation>
    <x:dataValidation type="list" sqref="S5:S204">
      <x:formula1>"30m,24h"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2bfcf9bd8344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28" customHeight="1">
      <x:c r="A1" s="3" t="str">
        <x:v>06 Evidence Index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relative paths only. Drive URL is intentionally blank; no external evidence is included.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Evidence ID</x:v>
      </x:c>
      <x:c r="B4" s="16" t="str">
        <x:v>Evidence Group ID</x:v>
      </x:c>
      <x:c r="C4" s="16" t="str">
        <x:v>Date</x:v>
      </x:c>
      <x:c r="D4" s="16" t="str">
        <x:v>Entity Type</x:v>
      </x:c>
      <x:c r="E4" s="16" t="str">
        <x:v>Entity Reference</x:v>
      </x:c>
      <x:c r="F4" s="16" t="str">
        <x:v>Capture Type</x:v>
      </x:c>
      <x:c r="G4" s="16" t="str">
        <x:v>Timepoint</x:v>
      </x:c>
      <x:c r="H4" s="16" t="str">
        <x:v>Capture Time</x:v>
      </x:c>
      <x:c r="I4" s="16" t="str">
        <x:v>Raw Path</x:v>
      </x:c>
      <x:c r="J4" s="16" t="str">
        <x:v>Compressed Path</x:v>
      </x:c>
      <x:c r="K4" s="16" t="str">
        <x:v>Thumbnail Path</x:v>
      </x:c>
      <x:c r="L4" s="16" t="str">
        <x:v>Drive URL</x:v>
      </x:c>
      <x:c r="M4" s="16" t="str">
        <x:v>Compression Status</x:v>
      </x:c>
      <x:c r="N4" s="16" t="str">
        <x:v>Linked Sheet</x:v>
      </x:c>
      <x:c r="O4" s="16" t="str">
        <x:v>Linked Row</x:v>
      </x:c>
      <x:c r="P4" s="16" t="str">
        <x:v>What Screenshot Must Show</x:v>
      </x:c>
      <x:c r="Q4" s="17" t="str">
        <x:v>Notes</x:v>
      </x:c>
    </x:row>
    <x:row r="5">
      <x:c r="A5" s="28" t="str">
        <x:v>EVD-SYN-0001-POST</x:v>
      </x:c>
      <x:c r="B5" s="29" t="str">
        <x:v>EVG-COM-0001</x:v>
      </x:c>
      <x:c r="C5" s="51" t="n">
        <x:v>46224</x:v>
      </x:c>
      <x:c r="D5" s="29" t="str">
        <x:v>Comment</x:v>
      </x:c>
      <x:c r="E5" s="29" t="str">
        <x:v>IC-0001</x:v>
      </x:c>
      <x:c r="F5" s="29" t="str">
        <x:v>Post confirmation</x:v>
      </x:c>
      <x:c r="G5" s="29" t="str">
        <x:v>Post</x:v>
      </x:c>
      <x:c r="H5" s="29" t="str">
        <x:v>09:00</x:v>
      </x:c>
      <x:c r="I5" s="29" t="str">
        <x:v>interview_assets/evidence/EVD-SYN-0001-POST.png</x:v>
      </x:c>
      <x:c r="J5" s="29" t="str"/>
      <x:c r="K5" s="29" t="str"/>
      <x:c r="L5" s="54" t="str"/>
      <x:c r="M5" s="29" t="str">
        <x:v>Not Required</x:v>
      </x:c>
      <x:c r="N5" s="29" t="str">
        <x:v>COMMENT_EXECUTION</x:v>
      </x:c>
      <x:c r="O5" s="29" t="n">
        <x:v>5</x:v>
      </x:c>
      <x:c r="P5" s="29" t="str">
        <x:v>Comment ID, account slot, post confirmation</x:v>
      </x:c>
      <x:c r="Q5" s="30" t="str">
        <x:v>Synthetic relative path only</x:v>
      </x:c>
    </x:row>
    <x:row r="6">
      <x:c r="A6" s="31" t="str">
        <x:v>EVD-SYN-0002-POST</x:v>
      </x:c>
      <x:c r="B6" s="32" t="str">
        <x:v>EVG-COM-0002</x:v>
      </x:c>
      <x:c r="C6" s="52" t="n">
        <x:v>46224</x:v>
      </x:c>
      <x:c r="D6" s="32" t="str">
        <x:v>Comment</x:v>
      </x:c>
      <x:c r="E6" s="32" t="str">
        <x:v>IC-0002</x:v>
      </x:c>
      <x:c r="F6" s="32" t="str">
        <x:v>Post confirmation</x:v>
      </x:c>
      <x:c r="G6" s="32" t="str">
        <x:v>Post</x:v>
      </x:c>
      <x:c r="H6" s="32" t="str">
        <x:v>10:07</x:v>
      </x:c>
      <x:c r="I6" s="32" t="str">
        <x:v>interview_assets/evidence/EVD-SYN-0002-POST.png</x:v>
      </x:c>
      <x:c r="J6" s="32" t="str"/>
      <x:c r="K6" s="32" t="str"/>
      <x:c r="L6" s="55" t="str"/>
      <x:c r="M6" s="32" t="str">
        <x:v>Not Required</x:v>
      </x:c>
      <x:c r="N6" s="32" t="str">
        <x:v>COMMENT_EXECUTION</x:v>
      </x:c>
      <x:c r="O6" s="32" t="n">
        <x:v>6</x:v>
      </x:c>
      <x:c r="P6" s="32" t="str">
        <x:v>Comment ID, account slot, post confirmation</x:v>
      </x:c>
      <x:c r="Q6" s="33" t="str">
        <x:v>Synthetic relative path only</x:v>
      </x:c>
    </x:row>
    <x:row r="7">
      <x:c r="A7" s="31" t="str">
        <x:v>EVD-SYN-0003-POST</x:v>
      </x:c>
      <x:c r="B7" s="32" t="str">
        <x:v>EVG-COM-0003</x:v>
      </x:c>
      <x:c r="C7" s="52" t="n">
        <x:v>46224</x:v>
      </x:c>
      <x:c r="D7" s="32" t="str">
        <x:v>Comment</x:v>
      </x:c>
      <x:c r="E7" s="32" t="str">
        <x:v>IC-0003</x:v>
      </x:c>
      <x:c r="F7" s="32" t="str">
        <x:v>Post confirmation</x:v>
      </x:c>
      <x:c r="G7" s="32" t="str">
        <x:v>Post</x:v>
      </x:c>
      <x:c r="H7" s="32" t="str">
        <x:v>11:14</x:v>
      </x:c>
      <x:c r="I7" s="32" t="str">
        <x:v>interview_assets/evidence/EVD-SYN-0003-POST.png</x:v>
      </x:c>
      <x:c r="J7" s="32" t="str"/>
      <x:c r="K7" s="32" t="str"/>
      <x:c r="L7" s="55" t="str"/>
      <x:c r="M7" s="32" t="str">
        <x:v>Not Required</x:v>
      </x:c>
      <x:c r="N7" s="32" t="str">
        <x:v>COMMENT_EXECUTION</x:v>
      </x:c>
      <x:c r="O7" s="32" t="n">
        <x:v>7</x:v>
      </x:c>
      <x:c r="P7" s="32" t="str">
        <x:v>Comment ID, account slot, post confirmation</x:v>
      </x:c>
      <x:c r="Q7" s="33" t="str">
        <x:v>Synthetic relative path only</x:v>
      </x:c>
    </x:row>
    <x:row r="8">
      <x:c r="A8" s="31" t="str">
        <x:v>EVD-SYN-0004-POST</x:v>
      </x:c>
      <x:c r="B8" s="32" t="str">
        <x:v>EVG-COM-0004</x:v>
      </x:c>
      <x:c r="C8" s="52" t="n">
        <x:v>46224</x:v>
      </x:c>
      <x:c r="D8" s="32" t="str">
        <x:v>Comment</x:v>
      </x:c>
      <x:c r="E8" s="32" t="str">
        <x:v>IC-0004</x:v>
      </x:c>
      <x:c r="F8" s="32" t="str">
        <x:v>Post confirmation</x:v>
      </x:c>
      <x:c r="G8" s="32" t="str">
        <x:v>Post</x:v>
      </x:c>
      <x:c r="H8" s="32" t="str">
        <x:v>12:21</x:v>
      </x:c>
      <x:c r="I8" s="32" t="str">
        <x:v>interview_assets/evidence/EVD-SYN-0004-POST.png</x:v>
      </x:c>
      <x:c r="J8" s="32" t="str"/>
      <x:c r="K8" s="32" t="str"/>
      <x:c r="L8" s="55" t="str"/>
      <x:c r="M8" s="32" t="str">
        <x:v>Not Required</x:v>
      </x:c>
      <x:c r="N8" s="32" t="str">
        <x:v>COMMENT_EXECUTION</x:v>
      </x:c>
      <x:c r="O8" s="32" t="n">
        <x:v>8</x:v>
      </x:c>
      <x:c r="P8" s="32" t="str">
        <x:v>Comment ID, account slot, post confirmation</x:v>
      </x:c>
      <x:c r="Q8" s="33" t="str">
        <x:v>Synthetic relative path only</x:v>
      </x:c>
    </x:row>
    <x:row r="9">
      <x:c r="A9" s="31" t="str">
        <x:v>EVD-SYN-0005-POST</x:v>
      </x:c>
      <x:c r="B9" s="32" t="str">
        <x:v>EVG-COM-0005</x:v>
      </x:c>
      <x:c r="C9" s="52" t="n">
        <x:v>46224</x:v>
      </x:c>
      <x:c r="D9" s="32" t="str">
        <x:v>Comment</x:v>
      </x:c>
      <x:c r="E9" s="32" t="str">
        <x:v>IC-0005</x:v>
      </x:c>
      <x:c r="F9" s="32" t="str">
        <x:v>Post confirmation</x:v>
      </x:c>
      <x:c r="G9" s="32" t="str">
        <x:v>Post</x:v>
      </x:c>
      <x:c r="H9" s="32" t="str">
        <x:v>13:28</x:v>
      </x:c>
      <x:c r="I9" s="32" t="str">
        <x:v>interview_assets/evidence/EVD-SYN-0005-POST.png</x:v>
      </x:c>
      <x:c r="J9" s="32" t="str"/>
      <x:c r="K9" s="32" t="str"/>
      <x:c r="L9" s="55" t="str"/>
      <x:c r="M9" s="32" t="str">
        <x:v>Not Required</x:v>
      </x:c>
      <x:c r="N9" s="32" t="str">
        <x:v>COMMENT_EXECUTION</x:v>
      </x:c>
      <x:c r="O9" s="32" t="n">
        <x:v>9</x:v>
      </x:c>
      <x:c r="P9" s="32" t="str">
        <x:v>Comment ID, account slot, post confirmation</x:v>
      </x:c>
      <x:c r="Q9" s="33" t="str">
        <x:v>Synthetic relative path only</x:v>
      </x:c>
    </x:row>
    <x:row r="10">
      <x:c r="A10" s="31" t="str">
        <x:v>EVD-SYN-0006-POST</x:v>
      </x:c>
      <x:c r="B10" s="32" t="str">
        <x:v>EVG-COM-0006</x:v>
      </x:c>
      <x:c r="C10" s="52" t="n">
        <x:v>46224</x:v>
      </x:c>
      <x:c r="D10" s="32" t="str">
        <x:v>Comment</x:v>
      </x:c>
      <x:c r="E10" s="32" t="str">
        <x:v>IC-0006</x:v>
      </x:c>
      <x:c r="F10" s="32" t="str">
        <x:v>Post confirmation</x:v>
      </x:c>
      <x:c r="G10" s="32" t="str">
        <x:v>Post</x:v>
      </x:c>
      <x:c r="H10" s="32" t="str">
        <x:v>14:35</x:v>
      </x:c>
      <x:c r="I10" s="32" t="str">
        <x:v>interview_assets/evidence/EVD-SYN-0006-POST.png</x:v>
      </x:c>
      <x:c r="J10" s="32" t="str"/>
      <x:c r="K10" s="32" t="str"/>
      <x:c r="L10" s="55" t="str"/>
      <x:c r="M10" s="32" t="str">
        <x:v>Not Required</x:v>
      </x:c>
      <x:c r="N10" s="32" t="str">
        <x:v>COMMENT_EXECUTION</x:v>
      </x:c>
      <x:c r="O10" s="32" t="n">
        <x:v>10</x:v>
      </x:c>
      <x:c r="P10" s="32" t="str">
        <x:v>Comment ID, account slot, post confirmation</x:v>
      </x:c>
      <x:c r="Q10" s="33" t="str">
        <x:v>Synthetic relative path only</x:v>
      </x:c>
    </x:row>
    <x:row r="11">
      <x:c r="A11" s="31" t="str">
        <x:v>EVD-SYN-0007-POST</x:v>
      </x:c>
      <x:c r="B11" s="32" t="str">
        <x:v>EVG-COM-0007</x:v>
      </x:c>
      <x:c r="C11" s="52" t="n">
        <x:v>46224</x:v>
      </x:c>
      <x:c r="D11" s="32" t="str">
        <x:v>Comment</x:v>
      </x:c>
      <x:c r="E11" s="32" t="str">
        <x:v>IC-0007</x:v>
      </x:c>
      <x:c r="F11" s="32" t="str">
        <x:v>Post confirmation</x:v>
      </x:c>
      <x:c r="G11" s="32" t="str">
        <x:v>Post</x:v>
      </x:c>
      <x:c r="H11" s="32" t="str">
        <x:v>15:42</x:v>
      </x:c>
      <x:c r="I11" s="32" t="str">
        <x:v>interview_assets/evidence/EVD-SYN-0007-POST.png</x:v>
      </x:c>
      <x:c r="J11" s="32" t="str"/>
      <x:c r="K11" s="32" t="str"/>
      <x:c r="L11" s="55" t="str"/>
      <x:c r="M11" s="32" t="str">
        <x:v>Not Required</x:v>
      </x:c>
      <x:c r="N11" s="32" t="str">
        <x:v>COMMENT_EXECUTION</x:v>
      </x:c>
      <x:c r="O11" s="32" t="n">
        <x:v>11</x:v>
      </x:c>
      <x:c r="P11" s="32" t="str">
        <x:v>Comment ID, account slot, post confirmation</x:v>
      </x:c>
      <x:c r="Q11" s="33" t="str">
        <x:v>Synthetic relative path only</x:v>
      </x:c>
    </x:row>
    <x:row r="12">
      <x:c r="A12" s="31" t="str">
        <x:v>EVD-SYN-0008-POST</x:v>
      </x:c>
      <x:c r="B12" s="32" t="str">
        <x:v>EVG-COM-0008</x:v>
      </x:c>
      <x:c r="C12" s="52" t="n">
        <x:v>46224</x:v>
      </x:c>
      <x:c r="D12" s="32" t="str">
        <x:v>Comment</x:v>
      </x:c>
      <x:c r="E12" s="32" t="str">
        <x:v>IC-0008</x:v>
      </x:c>
      <x:c r="F12" s="32" t="str">
        <x:v>Post confirmation</x:v>
      </x:c>
      <x:c r="G12" s="32" t="str">
        <x:v>Post</x:v>
      </x:c>
      <x:c r="H12" s="32" t="str">
        <x:v>16:49</x:v>
      </x:c>
      <x:c r="I12" s="32" t="str">
        <x:v>interview_assets/evidence/EVD-SYN-0008-POST.png</x:v>
      </x:c>
      <x:c r="J12" s="32" t="str"/>
      <x:c r="K12" s="32" t="str"/>
      <x:c r="L12" s="55" t="str"/>
      <x:c r="M12" s="32" t="str">
        <x:v>Not Required</x:v>
      </x:c>
      <x:c r="N12" s="32" t="str">
        <x:v>COMMENT_EXECUTION</x:v>
      </x:c>
      <x:c r="O12" s="32" t="n">
        <x:v>12</x:v>
      </x:c>
      <x:c r="P12" s="32" t="str">
        <x:v>Comment ID, account slot, post confirmation</x:v>
      </x:c>
      <x:c r="Q12" s="33" t="str">
        <x:v>Synthetic relative path only</x:v>
      </x:c>
    </x:row>
    <x:row r="13">
      <x:c r="A13" s="31" t="str">
        <x:v>EVD-SYN-0009-POST</x:v>
      </x:c>
      <x:c r="B13" s="32" t="str">
        <x:v>EVG-COM-0009</x:v>
      </x:c>
      <x:c r="C13" s="52" t="n">
        <x:v>46224</x:v>
      </x:c>
      <x:c r="D13" s="32" t="str">
        <x:v>Comment</x:v>
      </x:c>
      <x:c r="E13" s="32" t="str">
        <x:v>IC-0009</x:v>
      </x:c>
      <x:c r="F13" s="32" t="str">
        <x:v>Post confirmation</x:v>
      </x:c>
      <x:c r="G13" s="32" t="str">
        <x:v>Post</x:v>
      </x:c>
      <x:c r="H13" s="32" t="str">
        <x:v>17:56</x:v>
      </x:c>
      <x:c r="I13" s="32" t="str">
        <x:v>interview_assets/evidence/EVD-SYN-0009-POST.png</x:v>
      </x:c>
      <x:c r="J13" s="32" t="str"/>
      <x:c r="K13" s="32" t="str"/>
      <x:c r="L13" s="55" t="str"/>
      <x:c r="M13" s="32" t="str">
        <x:v>Not Required</x:v>
      </x:c>
      <x:c r="N13" s="32" t="str">
        <x:v>COMMENT_EXECUTION</x:v>
      </x:c>
      <x:c r="O13" s="32" t="n">
        <x:v>13</x:v>
      </x:c>
      <x:c r="P13" s="32" t="str">
        <x:v>Comment ID, account slot, post confirmation</x:v>
      </x:c>
      <x:c r="Q13" s="33" t="str">
        <x:v>Synthetic relative path only</x:v>
      </x:c>
    </x:row>
    <x:row r="14">
      <x:c r="A14" s="31" t="str">
        <x:v>EVD-SYN-0010-POST</x:v>
      </x:c>
      <x:c r="B14" s="32" t="str">
        <x:v>EVG-COM-0010</x:v>
      </x:c>
      <x:c r="C14" s="52" t="n">
        <x:v>46224</x:v>
      </x:c>
      <x:c r="D14" s="32" t="str">
        <x:v>Comment</x:v>
      </x:c>
      <x:c r="E14" s="32" t="str">
        <x:v>IC-0010</x:v>
      </x:c>
      <x:c r="F14" s="32" t="str">
        <x:v>Post confirmation</x:v>
      </x:c>
      <x:c r="G14" s="32" t="str">
        <x:v>Post</x:v>
      </x:c>
      <x:c r="H14" s="32" t="str">
        <x:v>18:03</x:v>
      </x:c>
      <x:c r="I14" s="32" t="str">
        <x:v>interview_assets/evidence/EVD-SYN-0010-POST.png</x:v>
      </x:c>
      <x:c r="J14" s="32" t="str"/>
      <x:c r="K14" s="32" t="str"/>
      <x:c r="L14" s="55" t="str"/>
      <x:c r="M14" s="32" t="str">
        <x:v>Not Required</x:v>
      </x:c>
      <x:c r="N14" s="32" t="str">
        <x:v>COMMENT_EXECUTION</x:v>
      </x:c>
      <x:c r="O14" s="32" t="n">
        <x:v>14</x:v>
      </x:c>
      <x:c r="P14" s="32" t="str">
        <x:v>Comment ID, account slot, post confirmation</x:v>
      </x:c>
      <x:c r="Q14" s="33" t="str">
        <x:v>Synthetic relative path only</x:v>
      </x:c>
    </x:row>
    <x:row r="15">
      <x:c r="A15" s="31" t="str">
        <x:v>EVD-SYN-0011-POST</x:v>
      </x:c>
      <x:c r="B15" s="32" t="str">
        <x:v>EVG-COM-0011</x:v>
      </x:c>
      <x:c r="C15" s="52" t="n">
        <x:v>46224</x:v>
      </x:c>
      <x:c r="D15" s="32" t="str">
        <x:v>Comment</x:v>
      </x:c>
      <x:c r="E15" s="32" t="str">
        <x:v>IC-0011</x:v>
      </x:c>
      <x:c r="F15" s="32" t="str">
        <x:v>Post confirmation</x:v>
      </x:c>
      <x:c r="G15" s="32" t="str">
        <x:v>Post</x:v>
      </x:c>
      <x:c r="H15" s="32" t="str">
        <x:v>09:10</x:v>
      </x:c>
      <x:c r="I15" s="32" t="str">
        <x:v>interview_assets/evidence/EVD-SYN-0011-POST.png</x:v>
      </x:c>
      <x:c r="J15" s="32" t="str"/>
      <x:c r="K15" s="32" t="str"/>
      <x:c r="L15" s="55" t="str"/>
      <x:c r="M15" s="32" t="str">
        <x:v>Not Required</x:v>
      </x:c>
      <x:c r="N15" s="32" t="str">
        <x:v>COMMENT_EXECUTION</x:v>
      </x:c>
      <x:c r="O15" s="32" t="n">
        <x:v>15</x:v>
      </x:c>
      <x:c r="P15" s="32" t="str">
        <x:v>Comment ID, account slot, post confirmation</x:v>
      </x:c>
      <x:c r="Q15" s="33" t="str">
        <x:v>Synthetic relative path only</x:v>
      </x:c>
    </x:row>
    <x:row r="16">
      <x:c r="A16" s="31" t="str">
        <x:v>EVD-SYN-0012-POST</x:v>
      </x:c>
      <x:c r="B16" s="32" t="str">
        <x:v>EVG-COM-0012</x:v>
      </x:c>
      <x:c r="C16" s="52" t="n">
        <x:v>46224</x:v>
      </x:c>
      <x:c r="D16" s="32" t="str">
        <x:v>Comment</x:v>
      </x:c>
      <x:c r="E16" s="32" t="str">
        <x:v>IC-0012</x:v>
      </x:c>
      <x:c r="F16" s="32" t="str">
        <x:v>Post confirmation</x:v>
      </x:c>
      <x:c r="G16" s="32" t="str">
        <x:v>Post</x:v>
      </x:c>
      <x:c r="H16" s="32" t="str">
        <x:v>10:17</x:v>
      </x:c>
      <x:c r="I16" s="32" t="str">
        <x:v>interview_assets/evidence/EVD-SYN-0012-POST.png</x:v>
      </x:c>
      <x:c r="J16" s="32" t="str"/>
      <x:c r="K16" s="32" t="str"/>
      <x:c r="L16" s="55" t="str"/>
      <x:c r="M16" s="32" t="str">
        <x:v>Not Required</x:v>
      </x:c>
      <x:c r="N16" s="32" t="str">
        <x:v>COMMENT_EXECUTION</x:v>
      </x:c>
      <x:c r="O16" s="32" t="n">
        <x:v>16</x:v>
      </x:c>
      <x:c r="P16" s="32" t="str">
        <x:v>Comment ID, account slot, post confirmation</x:v>
      </x:c>
      <x:c r="Q16" s="33" t="str">
        <x:v>Synthetic relative path only</x:v>
      </x:c>
    </x:row>
    <x:row r="17">
      <x:c r="A17" s="31" t="str">
        <x:v>EVD-SYN-0013-POST</x:v>
      </x:c>
      <x:c r="B17" s="32" t="str">
        <x:v>EVG-COM-0013</x:v>
      </x:c>
      <x:c r="C17" s="52" t="n">
        <x:v>46224</x:v>
      </x:c>
      <x:c r="D17" s="32" t="str">
        <x:v>Comment</x:v>
      </x:c>
      <x:c r="E17" s="32" t="str">
        <x:v>IC-0013</x:v>
      </x:c>
      <x:c r="F17" s="32" t="str">
        <x:v>Post confirmation</x:v>
      </x:c>
      <x:c r="G17" s="32" t="str">
        <x:v>Post</x:v>
      </x:c>
      <x:c r="H17" s="32" t="str">
        <x:v>11:24</x:v>
      </x:c>
      <x:c r="I17" s="32" t="str">
        <x:v>interview_assets/evidence/EVD-SYN-0013-POST.png</x:v>
      </x:c>
      <x:c r="J17" s="32" t="str"/>
      <x:c r="K17" s="32" t="str"/>
      <x:c r="L17" s="55" t="str"/>
      <x:c r="M17" s="32" t="str">
        <x:v>Not Required</x:v>
      </x:c>
      <x:c r="N17" s="32" t="str">
        <x:v>COMMENT_EXECUTION</x:v>
      </x:c>
      <x:c r="O17" s="32" t="n">
        <x:v>17</x:v>
      </x:c>
      <x:c r="P17" s="32" t="str">
        <x:v>Comment ID, account slot, post confirmation</x:v>
      </x:c>
      <x:c r="Q17" s="33" t="str">
        <x:v>Synthetic relative path only</x:v>
      </x:c>
    </x:row>
    <x:row r="18">
      <x:c r="A18" s="31" t="str">
        <x:v>EVD-SYN-0014-POST</x:v>
      </x:c>
      <x:c r="B18" s="32" t="str">
        <x:v>EVG-COM-0014</x:v>
      </x:c>
      <x:c r="C18" s="52" t="n">
        <x:v>46224</x:v>
      </x:c>
      <x:c r="D18" s="32" t="str">
        <x:v>Comment</x:v>
      </x:c>
      <x:c r="E18" s="32" t="str">
        <x:v>IC-0014</x:v>
      </x:c>
      <x:c r="F18" s="32" t="str">
        <x:v>Post confirmation</x:v>
      </x:c>
      <x:c r="G18" s="32" t="str">
        <x:v>Post</x:v>
      </x:c>
      <x:c r="H18" s="32" t="str">
        <x:v>12:31</x:v>
      </x:c>
      <x:c r="I18" s="32" t="str">
        <x:v>interview_assets/evidence/EVD-SYN-0014-POST.png</x:v>
      </x:c>
      <x:c r="J18" s="32" t="str"/>
      <x:c r="K18" s="32" t="str"/>
      <x:c r="L18" s="55" t="str"/>
      <x:c r="M18" s="32" t="str">
        <x:v>Not Required</x:v>
      </x:c>
      <x:c r="N18" s="32" t="str">
        <x:v>COMMENT_EXECUTION</x:v>
      </x:c>
      <x:c r="O18" s="32" t="n">
        <x:v>18</x:v>
      </x:c>
      <x:c r="P18" s="32" t="str">
        <x:v>Comment ID, account slot, post confirmation</x:v>
      </x:c>
      <x:c r="Q18" s="33" t="str">
        <x:v>Synthetic relative path only</x:v>
      </x:c>
    </x:row>
    <x:row r="19">
      <x:c r="A19" s="31" t="str">
        <x:v>EVD-SYN-0015-POST</x:v>
      </x:c>
      <x:c r="B19" s="32" t="str">
        <x:v>EVG-COM-0015</x:v>
      </x:c>
      <x:c r="C19" s="52" t="n">
        <x:v>46224</x:v>
      </x:c>
      <x:c r="D19" s="32" t="str">
        <x:v>Comment</x:v>
      </x:c>
      <x:c r="E19" s="32" t="str">
        <x:v>IC-0015</x:v>
      </x:c>
      <x:c r="F19" s="32" t="str">
        <x:v>Post confirmation</x:v>
      </x:c>
      <x:c r="G19" s="32" t="str">
        <x:v>Post</x:v>
      </x:c>
      <x:c r="H19" s="32" t="str">
        <x:v>13:38</x:v>
      </x:c>
      <x:c r="I19" s="32" t="str">
        <x:v>interview_assets/evidence/EVD-SYN-0015-POST.png</x:v>
      </x:c>
      <x:c r="J19" s="32" t="str"/>
      <x:c r="K19" s="32" t="str"/>
      <x:c r="L19" s="55" t="str"/>
      <x:c r="M19" s="32" t="str">
        <x:v>Not Required</x:v>
      </x:c>
      <x:c r="N19" s="32" t="str">
        <x:v>COMMENT_EXECUTION</x:v>
      </x:c>
      <x:c r="O19" s="32" t="n">
        <x:v>19</x:v>
      </x:c>
      <x:c r="P19" s="32" t="str">
        <x:v>Comment ID, account slot, post confirmation</x:v>
      </x:c>
      <x:c r="Q19" s="33" t="str">
        <x:v>Synthetic relative path only</x:v>
      </x:c>
    </x:row>
    <x:row r="20">
      <x:c r="A20" s="31" t="str">
        <x:v>EVD-SYN-0016-POST</x:v>
      </x:c>
      <x:c r="B20" s="32" t="str">
        <x:v>EVG-COM-0016</x:v>
      </x:c>
      <x:c r="C20" s="52" t="n">
        <x:v>46224</x:v>
      </x:c>
      <x:c r="D20" s="32" t="str">
        <x:v>Comment</x:v>
      </x:c>
      <x:c r="E20" s="32" t="str">
        <x:v>IC-0016</x:v>
      </x:c>
      <x:c r="F20" s="32" t="str">
        <x:v>Post confirmation</x:v>
      </x:c>
      <x:c r="G20" s="32" t="str">
        <x:v>Post</x:v>
      </x:c>
      <x:c r="H20" s="32" t="str">
        <x:v>14:45</x:v>
      </x:c>
      <x:c r="I20" s="32" t="str">
        <x:v>interview_assets/evidence/EVD-SYN-0016-POST.png</x:v>
      </x:c>
      <x:c r="J20" s="32" t="str"/>
      <x:c r="K20" s="32" t="str"/>
      <x:c r="L20" s="55" t="str"/>
      <x:c r="M20" s="32" t="str">
        <x:v>Not Required</x:v>
      </x:c>
      <x:c r="N20" s="32" t="str">
        <x:v>COMMENT_EXECUTION</x:v>
      </x:c>
      <x:c r="O20" s="32" t="n">
        <x:v>20</x:v>
      </x:c>
      <x:c r="P20" s="32" t="str">
        <x:v>Comment ID, account slot, post confirmation</x:v>
      </x:c>
      <x:c r="Q20" s="33" t="str">
        <x:v>Synthetic relative path only</x:v>
      </x:c>
    </x:row>
    <x:row r="21">
      <x:c r="A21" s="31" t="str">
        <x:v>EVD-SYN-0017-POST</x:v>
      </x:c>
      <x:c r="B21" s="32" t="str">
        <x:v>EVG-COM-0017</x:v>
      </x:c>
      <x:c r="C21" s="52" t="n">
        <x:v>46224</x:v>
      </x:c>
      <x:c r="D21" s="32" t="str">
        <x:v>Comment</x:v>
      </x:c>
      <x:c r="E21" s="32" t="str">
        <x:v>IC-0017</x:v>
      </x:c>
      <x:c r="F21" s="32" t="str">
        <x:v>Post confirmation</x:v>
      </x:c>
      <x:c r="G21" s="32" t="str">
        <x:v>Post</x:v>
      </x:c>
      <x:c r="H21" s="32" t="str">
        <x:v>15:52</x:v>
      </x:c>
      <x:c r="I21" s="32" t="str">
        <x:v>interview_assets/evidence/EVD-SYN-0017-POST.png</x:v>
      </x:c>
      <x:c r="J21" s="32" t="str"/>
      <x:c r="K21" s="32" t="str"/>
      <x:c r="L21" s="55" t="str"/>
      <x:c r="M21" s="32" t="str">
        <x:v>Not Required</x:v>
      </x:c>
      <x:c r="N21" s="32" t="str">
        <x:v>COMMENT_EXECUTION</x:v>
      </x:c>
      <x:c r="O21" s="32" t="n">
        <x:v>21</x:v>
      </x:c>
      <x:c r="P21" s="32" t="str">
        <x:v>Comment ID, account slot, post confirmation</x:v>
      </x:c>
      <x:c r="Q21" s="33" t="str">
        <x:v>Synthetic relative path only</x:v>
      </x:c>
    </x:row>
    <x:row r="22">
      <x:c r="A22" s="31" t="str">
        <x:v>EVD-SYN-0018-POST</x:v>
      </x:c>
      <x:c r="B22" s="32" t="str">
        <x:v>EVG-COM-0018</x:v>
      </x:c>
      <x:c r="C22" s="52" t="n">
        <x:v>46224</x:v>
      </x:c>
      <x:c r="D22" s="32" t="str">
        <x:v>Comment</x:v>
      </x:c>
      <x:c r="E22" s="32" t="str">
        <x:v>IC-0018</x:v>
      </x:c>
      <x:c r="F22" s="32" t="str">
        <x:v>Post confirmation</x:v>
      </x:c>
      <x:c r="G22" s="32" t="str">
        <x:v>Post</x:v>
      </x:c>
      <x:c r="H22" s="32" t="str">
        <x:v>16:59</x:v>
      </x:c>
      <x:c r="I22" s="32" t="str">
        <x:v>interview_assets/evidence/EVD-SYN-0018-POST.png</x:v>
      </x:c>
      <x:c r="J22" s="32" t="str"/>
      <x:c r="K22" s="32" t="str"/>
      <x:c r="L22" s="55" t="str"/>
      <x:c r="M22" s="32" t="str">
        <x:v>Not Required</x:v>
      </x:c>
      <x:c r="N22" s="32" t="str">
        <x:v>COMMENT_EXECUTION</x:v>
      </x:c>
      <x:c r="O22" s="32" t="n">
        <x:v>22</x:v>
      </x:c>
      <x:c r="P22" s="32" t="str">
        <x:v>Comment ID, account slot, post confirmation</x:v>
      </x:c>
      <x:c r="Q22" s="33" t="str">
        <x:v>Synthetic relative path only</x:v>
      </x:c>
    </x:row>
    <x:row r="23">
      <x:c r="A23" s="31" t="str">
        <x:v>EVD-SYN-0019-POST</x:v>
      </x:c>
      <x:c r="B23" s="32" t="str">
        <x:v>EVG-COM-0019</x:v>
      </x:c>
      <x:c r="C23" s="52" t="n">
        <x:v>46224</x:v>
      </x:c>
      <x:c r="D23" s="32" t="str">
        <x:v>Comment</x:v>
      </x:c>
      <x:c r="E23" s="32" t="str">
        <x:v>IC-0019</x:v>
      </x:c>
      <x:c r="F23" s="32" t="str">
        <x:v>Post confirmation</x:v>
      </x:c>
      <x:c r="G23" s="32" t="str">
        <x:v>Post</x:v>
      </x:c>
      <x:c r="H23" s="32" t="str">
        <x:v>17:06</x:v>
      </x:c>
      <x:c r="I23" s="32" t="str">
        <x:v>interview_assets/evidence/EVD-SYN-0019-POST.png</x:v>
      </x:c>
      <x:c r="J23" s="32" t="str"/>
      <x:c r="K23" s="32" t="str"/>
      <x:c r="L23" s="55" t="str"/>
      <x:c r="M23" s="32" t="str">
        <x:v>Not Required</x:v>
      </x:c>
      <x:c r="N23" s="32" t="str">
        <x:v>COMMENT_EXECUTION</x:v>
      </x:c>
      <x:c r="O23" s="32" t="n">
        <x:v>23</x:v>
      </x:c>
      <x:c r="P23" s="32" t="str">
        <x:v>Comment ID, account slot, post confirmation</x:v>
      </x:c>
      <x:c r="Q23" s="33" t="str">
        <x:v>Synthetic relative path only</x:v>
      </x:c>
    </x:row>
    <x:row r="24">
      <x:c r="A24" s="31" t="str">
        <x:v>EVD-SYN-0020-POST</x:v>
      </x:c>
      <x:c r="B24" s="32" t="str">
        <x:v>EVG-COM-0020</x:v>
      </x:c>
      <x:c r="C24" s="52" t="n">
        <x:v>46224</x:v>
      </x:c>
      <x:c r="D24" s="32" t="str">
        <x:v>Comment</x:v>
      </x:c>
      <x:c r="E24" s="32" t="str">
        <x:v>IC-0020</x:v>
      </x:c>
      <x:c r="F24" s="32" t="str">
        <x:v>Post confirmation</x:v>
      </x:c>
      <x:c r="G24" s="32" t="str">
        <x:v>Post</x:v>
      </x:c>
      <x:c r="H24" s="32" t="str">
        <x:v>18:13</x:v>
      </x:c>
      <x:c r="I24" s="32" t="str">
        <x:v>interview_assets/evidence/EVD-SYN-0020-POST.png</x:v>
      </x:c>
      <x:c r="J24" s="32" t="str"/>
      <x:c r="K24" s="32" t="str"/>
      <x:c r="L24" s="55" t="str"/>
      <x:c r="M24" s="32" t="str">
        <x:v>Not Required</x:v>
      </x:c>
      <x:c r="N24" s="32" t="str">
        <x:v>COMMENT_EXECUTION</x:v>
      </x:c>
      <x:c r="O24" s="32" t="n">
        <x:v>24</x:v>
      </x:c>
      <x:c r="P24" s="32" t="str">
        <x:v>Comment ID, account slot, post confirmation</x:v>
      </x:c>
      <x:c r="Q24" s="33" t="str">
        <x:v>Synthetic relative path only</x:v>
      </x:c>
    </x:row>
    <x:row r="25">
      <x:c r="A25" s="31" t="str">
        <x:v>EVD-SYN-0021-POST</x:v>
      </x:c>
      <x:c r="B25" s="32" t="str">
        <x:v>EVG-COM-0021</x:v>
      </x:c>
      <x:c r="C25" s="52" t="n">
        <x:v>46224</x:v>
      </x:c>
      <x:c r="D25" s="32" t="str">
        <x:v>Comment</x:v>
      </x:c>
      <x:c r="E25" s="32" t="str">
        <x:v>IC-0021</x:v>
      </x:c>
      <x:c r="F25" s="32" t="str">
        <x:v>Post confirmation</x:v>
      </x:c>
      <x:c r="G25" s="32" t="str">
        <x:v>Post</x:v>
      </x:c>
      <x:c r="H25" s="32" t="str">
        <x:v>09:20</x:v>
      </x:c>
      <x:c r="I25" s="32" t="str">
        <x:v>interview_assets/evidence/EVD-SYN-0021-POST.png</x:v>
      </x:c>
      <x:c r="J25" s="32" t="str"/>
      <x:c r="K25" s="32" t="str"/>
      <x:c r="L25" s="55" t="str"/>
      <x:c r="M25" s="32" t="str">
        <x:v>Not Required</x:v>
      </x:c>
      <x:c r="N25" s="32" t="str">
        <x:v>COMMENT_EXECUTION</x:v>
      </x:c>
      <x:c r="O25" s="32" t="n">
        <x:v>25</x:v>
      </x:c>
      <x:c r="P25" s="32" t="str">
        <x:v>Comment ID, account slot, post confirmation</x:v>
      </x:c>
      <x:c r="Q25" s="33" t="str">
        <x:v>Synthetic relative path only</x:v>
      </x:c>
    </x:row>
    <x:row r="26">
      <x:c r="A26" s="31" t="str">
        <x:v>EVD-SYN-0022-POST</x:v>
      </x:c>
      <x:c r="B26" s="32" t="str">
        <x:v>EVG-COM-0022</x:v>
      </x:c>
      <x:c r="C26" s="52" t="n">
        <x:v>46224</x:v>
      </x:c>
      <x:c r="D26" s="32" t="str">
        <x:v>Comment</x:v>
      </x:c>
      <x:c r="E26" s="32" t="str">
        <x:v>IC-0022</x:v>
      </x:c>
      <x:c r="F26" s="32" t="str">
        <x:v>Post confirmation</x:v>
      </x:c>
      <x:c r="G26" s="32" t="str">
        <x:v>Post</x:v>
      </x:c>
      <x:c r="H26" s="32" t="str">
        <x:v>10:27</x:v>
      </x:c>
      <x:c r="I26" s="32" t="str">
        <x:v>interview_assets/evidence/EVD-SYN-0022-POST.png</x:v>
      </x:c>
      <x:c r="J26" s="32" t="str"/>
      <x:c r="K26" s="32" t="str"/>
      <x:c r="L26" s="55" t="str"/>
      <x:c r="M26" s="32" t="str">
        <x:v>Not Required</x:v>
      </x:c>
      <x:c r="N26" s="32" t="str">
        <x:v>COMMENT_EXECUTION</x:v>
      </x:c>
      <x:c r="O26" s="32" t="n">
        <x:v>26</x:v>
      </x:c>
      <x:c r="P26" s="32" t="str">
        <x:v>Comment ID, account slot, post confirmation</x:v>
      </x:c>
      <x:c r="Q26" s="33" t="str">
        <x:v>Synthetic relative path only</x:v>
      </x:c>
    </x:row>
    <x:row r="27">
      <x:c r="A27" s="31" t="str">
        <x:v>EVD-SYN-0023-POST</x:v>
      </x:c>
      <x:c r="B27" s="32" t="str">
        <x:v>EVG-COM-0023</x:v>
      </x:c>
      <x:c r="C27" s="52" t="n">
        <x:v>46224</x:v>
      </x:c>
      <x:c r="D27" s="32" t="str">
        <x:v>Comment</x:v>
      </x:c>
      <x:c r="E27" s="32" t="str">
        <x:v>IC-0023</x:v>
      </x:c>
      <x:c r="F27" s="32" t="str">
        <x:v>Post confirmation</x:v>
      </x:c>
      <x:c r="G27" s="32" t="str">
        <x:v>Post</x:v>
      </x:c>
      <x:c r="H27" s="32" t="str">
        <x:v>11:34</x:v>
      </x:c>
      <x:c r="I27" s="32" t="str">
        <x:v>interview_assets/evidence/EVD-SYN-0023-POST.png</x:v>
      </x:c>
      <x:c r="J27" s="32" t="str"/>
      <x:c r="K27" s="32" t="str"/>
      <x:c r="L27" s="55" t="str"/>
      <x:c r="M27" s="32" t="str">
        <x:v>Not Required</x:v>
      </x:c>
      <x:c r="N27" s="32" t="str">
        <x:v>COMMENT_EXECUTION</x:v>
      </x:c>
      <x:c r="O27" s="32" t="n">
        <x:v>27</x:v>
      </x:c>
      <x:c r="P27" s="32" t="str">
        <x:v>Comment ID, account slot, post confirmation</x:v>
      </x:c>
      <x:c r="Q27" s="33" t="str">
        <x:v>Synthetic relative path only</x:v>
      </x:c>
    </x:row>
    <x:row r="28">
      <x:c r="A28" s="31" t="str">
        <x:v>EVD-SYN-0024-POST</x:v>
      </x:c>
      <x:c r="B28" s="32" t="str">
        <x:v>EVG-COM-0024</x:v>
      </x:c>
      <x:c r="C28" s="52" t="n">
        <x:v>46224</x:v>
      </x:c>
      <x:c r="D28" s="32" t="str">
        <x:v>Comment</x:v>
      </x:c>
      <x:c r="E28" s="32" t="str">
        <x:v>IC-0024</x:v>
      </x:c>
      <x:c r="F28" s="32" t="str">
        <x:v>Post confirmation</x:v>
      </x:c>
      <x:c r="G28" s="32" t="str">
        <x:v>Post</x:v>
      </x:c>
      <x:c r="H28" s="32" t="str">
        <x:v>12:41</x:v>
      </x:c>
      <x:c r="I28" s="32" t="str">
        <x:v>interview_assets/evidence/EVD-SYN-0024-POST.png</x:v>
      </x:c>
      <x:c r="J28" s="32" t="str"/>
      <x:c r="K28" s="32" t="str"/>
      <x:c r="L28" s="55" t="str"/>
      <x:c r="M28" s="32" t="str">
        <x:v>Not Required</x:v>
      </x:c>
      <x:c r="N28" s="32" t="str">
        <x:v>COMMENT_EXECUTION</x:v>
      </x:c>
      <x:c r="O28" s="32" t="n">
        <x:v>28</x:v>
      </x:c>
      <x:c r="P28" s="32" t="str">
        <x:v>Comment ID, account slot, post confirmation</x:v>
      </x:c>
      <x:c r="Q28" s="33" t="str">
        <x:v>Synthetic relative path only</x:v>
      </x:c>
    </x:row>
    <x:row r="29">
      <x:c r="A29" s="31" t="str">
        <x:v>EVD-SYN-0025-POST</x:v>
      </x:c>
      <x:c r="B29" s="32" t="str">
        <x:v>EVG-COM-0025</x:v>
      </x:c>
      <x:c r="C29" s="52" t="n">
        <x:v>46224</x:v>
      </x:c>
      <x:c r="D29" s="32" t="str">
        <x:v>Comment</x:v>
      </x:c>
      <x:c r="E29" s="32" t="str">
        <x:v>IC-0025</x:v>
      </x:c>
      <x:c r="F29" s="32" t="str">
        <x:v>Post confirmation</x:v>
      </x:c>
      <x:c r="G29" s="32" t="str">
        <x:v>Post</x:v>
      </x:c>
      <x:c r="H29" s="32" t="str">
        <x:v>13:48</x:v>
      </x:c>
      <x:c r="I29" s="32" t="str">
        <x:v>interview_assets/evidence/EVD-SYN-0025-POST.png</x:v>
      </x:c>
      <x:c r="J29" s="32" t="str"/>
      <x:c r="K29" s="32" t="str"/>
      <x:c r="L29" s="55" t="str"/>
      <x:c r="M29" s="32" t="str">
        <x:v>Not Required</x:v>
      </x:c>
      <x:c r="N29" s="32" t="str">
        <x:v>COMMENT_EXECUTION</x:v>
      </x:c>
      <x:c r="O29" s="32" t="n">
        <x:v>29</x:v>
      </x:c>
      <x:c r="P29" s="32" t="str">
        <x:v>Comment ID, account slot, post confirmation</x:v>
      </x:c>
      <x:c r="Q29" s="33" t="str">
        <x:v>Synthetic relative path only</x:v>
      </x:c>
    </x:row>
    <x:row r="30">
      <x:c r="A30" s="31" t="str">
        <x:v>EVD-SYN-0026-POST</x:v>
      </x:c>
      <x:c r="B30" s="32" t="str">
        <x:v>EVG-COM-0026</x:v>
      </x:c>
      <x:c r="C30" s="52" t="n">
        <x:v>46225</x:v>
      </x:c>
      <x:c r="D30" s="32" t="str">
        <x:v>Comment</x:v>
      </x:c>
      <x:c r="E30" s="32" t="str">
        <x:v>IC-0026</x:v>
      </x:c>
      <x:c r="F30" s="32" t="str">
        <x:v>Post confirmation</x:v>
      </x:c>
      <x:c r="G30" s="32" t="str">
        <x:v>Post</x:v>
      </x:c>
      <x:c r="H30" s="32" t="str">
        <x:v>14:55</x:v>
      </x:c>
      <x:c r="I30" s="32" t="str">
        <x:v>interview_assets/evidence/EVD-SYN-0026-POST.png</x:v>
      </x:c>
      <x:c r="J30" s="32" t="str"/>
      <x:c r="K30" s="32" t="str"/>
      <x:c r="L30" s="55" t="str"/>
      <x:c r="M30" s="32" t="str">
        <x:v>Not Required</x:v>
      </x:c>
      <x:c r="N30" s="32" t="str">
        <x:v>COMMENT_EXECUTION</x:v>
      </x:c>
      <x:c r="O30" s="32" t="n">
        <x:v>30</x:v>
      </x:c>
      <x:c r="P30" s="32" t="str">
        <x:v>Comment ID, account slot, post confirmation</x:v>
      </x:c>
      <x:c r="Q30" s="33" t="str">
        <x:v>Synthetic relative path only</x:v>
      </x:c>
    </x:row>
    <x:row r="31">
      <x:c r="A31" s="31" t="str">
        <x:v>EVD-SYN-0027-POST</x:v>
      </x:c>
      <x:c r="B31" s="32" t="str">
        <x:v>EVG-COM-0027</x:v>
      </x:c>
      <x:c r="C31" s="52" t="n">
        <x:v>46225</x:v>
      </x:c>
      <x:c r="D31" s="32" t="str">
        <x:v>Comment</x:v>
      </x:c>
      <x:c r="E31" s="32" t="str">
        <x:v>IC-0027</x:v>
      </x:c>
      <x:c r="F31" s="32" t="str">
        <x:v>Post confirmation</x:v>
      </x:c>
      <x:c r="G31" s="32" t="str">
        <x:v>Post</x:v>
      </x:c>
      <x:c r="H31" s="32" t="str">
        <x:v>15:02</x:v>
      </x:c>
      <x:c r="I31" s="32" t="str">
        <x:v>interview_assets/evidence/EVD-SYN-0027-POST.png</x:v>
      </x:c>
      <x:c r="J31" s="32" t="str"/>
      <x:c r="K31" s="32" t="str"/>
      <x:c r="L31" s="55" t="str"/>
      <x:c r="M31" s="32" t="str">
        <x:v>Not Required</x:v>
      </x:c>
      <x:c r="N31" s="32" t="str">
        <x:v>COMMENT_EXECUTION</x:v>
      </x:c>
      <x:c r="O31" s="32" t="n">
        <x:v>31</x:v>
      </x:c>
      <x:c r="P31" s="32" t="str">
        <x:v>Comment ID, account slot, post confirmation</x:v>
      </x:c>
      <x:c r="Q31" s="33" t="str">
        <x:v>Synthetic relative path only</x:v>
      </x:c>
    </x:row>
    <x:row r="32">
      <x:c r="A32" s="31" t="str">
        <x:v>EVD-SYN-0028-POST</x:v>
      </x:c>
      <x:c r="B32" s="32" t="str">
        <x:v>EVG-COM-0028</x:v>
      </x:c>
      <x:c r="C32" s="52" t="n">
        <x:v>46225</x:v>
      </x:c>
      <x:c r="D32" s="32" t="str">
        <x:v>Comment</x:v>
      </x:c>
      <x:c r="E32" s="32" t="str">
        <x:v>IC-0028</x:v>
      </x:c>
      <x:c r="F32" s="32" t="str">
        <x:v>Post confirmation</x:v>
      </x:c>
      <x:c r="G32" s="32" t="str">
        <x:v>Post</x:v>
      </x:c>
      <x:c r="H32" s="32" t="str">
        <x:v>16:09</x:v>
      </x:c>
      <x:c r="I32" s="32" t="str">
        <x:v>interview_assets/evidence/EVD-SYN-0028-POST.png</x:v>
      </x:c>
      <x:c r="J32" s="32" t="str"/>
      <x:c r="K32" s="32" t="str"/>
      <x:c r="L32" s="55" t="str"/>
      <x:c r="M32" s="32" t="str">
        <x:v>Not Required</x:v>
      </x:c>
      <x:c r="N32" s="32" t="str">
        <x:v>COMMENT_EXECUTION</x:v>
      </x:c>
      <x:c r="O32" s="32" t="n">
        <x:v>32</x:v>
      </x:c>
      <x:c r="P32" s="32" t="str">
        <x:v>Comment ID, account slot, post confirmation</x:v>
      </x:c>
      <x:c r="Q32" s="33" t="str">
        <x:v>Synthetic relative path only</x:v>
      </x:c>
    </x:row>
    <x:row r="33">
      <x:c r="A33" s="31" t="str">
        <x:v>EVD-SYN-0029-POST</x:v>
      </x:c>
      <x:c r="B33" s="32" t="str">
        <x:v>EVG-COM-0029</x:v>
      </x:c>
      <x:c r="C33" s="52" t="n">
        <x:v>46225</x:v>
      </x:c>
      <x:c r="D33" s="32" t="str">
        <x:v>Comment</x:v>
      </x:c>
      <x:c r="E33" s="32" t="str">
        <x:v>IC-0029</x:v>
      </x:c>
      <x:c r="F33" s="32" t="str">
        <x:v>Post confirmation</x:v>
      </x:c>
      <x:c r="G33" s="32" t="str">
        <x:v>Post</x:v>
      </x:c>
      <x:c r="H33" s="32" t="str">
        <x:v>17:16</x:v>
      </x:c>
      <x:c r="I33" s="32" t="str">
        <x:v>interview_assets/evidence/EVD-SYN-0029-POST.png</x:v>
      </x:c>
      <x:c r="J33" s="32" t="str"/>
      <x:c r="K33" s="32" t="str"/>
      <x:c r="L33" s="55" t="str"/>
      <x:c r="M33" s="32" t="str">
        <x:v>Not Required</x:v>
      </x:c>
      <x:c r="N33" s="32" t="str">
        <x:v>COMMENT_EXECUTION</x:v>
      </x:c>
      <x:c r="O33" s="32" t="n">
        <x:v>33</x:v>
      </x:c>
      <x:c r="P33" s="32" t="str">
        <x:v>Comment ID, account slot, post confirmation</x:v>
      </x:c>
      <x:c r="Q33" s="33" t="str">
        <x:v>Synthetic relative path only</x:v>
      </x:c>
    </x:row>
    <x:row r="34">
      <x:c r="A34" s="31" t="str">
        <x:v>EVD-SYN-0030-POST</x:v>
      </x:c>
      <x:c r="B34" s="32" t="str">
        <x:v>EVG-COM-0030</x:v>
      </x:c>
      <x:c r="C34" s="52" t="n">
        <x:v>46225</x:v>
      </x:c>
      <x:c r="D34" s="32" t="str">
        <x:v>Comment</x:v>
      </x:c>
      <x:c r="E34" s="32" t="str">
        <x:v>IC-0030</x:v>
      </x:c>
      <x:c r="F34" s="32" t="str">
        <x:v>Post confirmation</x:v>
      </x:c>
      <x:c r="G34" s="32" t="str">
        <x:v>Post</x:v>
      </x:c>
      <x:c r="H34" s="32" t="str">
        <x:v>18:23</x:v>
      </x:c>
      <x:c r="I34" s="32" t="str">
        <x:v>interview_assets/evidence/EVD-SYN-0030-POST.png</x:v>
      </x:c>
      <x:c r="J34" s="32" t="str"/>
      <x:c r="K34" s="32" t="str"/>
      <x:c r="L34" s="55" t="str"/>
      <x:c r="M34" s="32" t="str">
        <x:v>Not Required</x:v>
      </x:c>
      <x:c r="N34" s="32" t="str">
        <x:v>COMMENT_EXECUTION</x:v>
      </x:c>
      <x:c r="O34" s="32" t="n">
        <x:v>34</x:v>
      </x:c>
      <x:c r="P34" s="32" t="str">
        <x:v>Comment ID, account slot, post confirmation</x:v>
      </x:c>
      <x:c r="Q34" s="33" t="str">
        <x:v>Synthetic relative path only</x:v>
      </x:c>
    </x:row>
    <x:row r="35">
      <x:c r="A35" s="31" t="str">
        <x:v>EVD-SYN-0031-POST</x:v>
      </x:c>
      <x:c r="B35" s="32" t="str">
        <x:v>EVG-COM-0031</x:v>
      </x:c>
      <x:c r="C35" s="52" t="n">
        <x:v>46225</x:v>
      </x:c>
      <x:c r="D35" s="32" t="str">
        <x:v>Comment</x:v>
      </x:c>
      <x:c r="E35" s="32" t="str">
        <x:v>IC-0031</x:v>
      </x:c>
      <x:c r="F35" s="32" t="str">
        <x:v>Post confirmation</x:v>
      </x:c>
      <x:c r="G35" s="32" t="str">
        <x:v>Post</x:v>
      </x:c>
      <x:c r="H35" s="32" t="str">
        <x:v>09:30</x:v>
      </x:c>
      <x:c r="I35" s="32" t="str">
        <x:v>interview_assets/evidence/EVD-SYN-0031-POST.png</x:v>
      </x:c>
      <x:c r="J35" s="32" t="str"/>
      <x:c r="K35" s="32" t="str"/>
      <x:c r="L35" s="55" t="str"/>
      <x:c r="M35" s="32" t="str">
        <x:v>Not Required</x:v>
      </x:c>
      <x:c r="N35" s="32" t="str">
        <x:v>COMMENT_EXECUTION</x:v>
      </x:c>
      <x:c r="O35" s="32" t="n">
        <x:v>35</x:v>
      </x:c>
      <x:c r="P35" s="32" t="str">
        <x:v>Comment ID, account slot, post confirmation</x:v>
      </x:c>
      <x:c r="Q35" s="33" t="str">
        <x:v>Synthetic relative path only</x:v>
      </x:c>
    </x:row>
    <x:row r="36">
      <x:c r="A36" s="31" t="str">
        <x:v>EVD-SYN-0032-POST</x:v>
      </x:c>
      <x:c r="B36" s="32" t="str">
        <x:v>EVG-COM-0032</x:v>
      </x:c>
      <x:c r="C36" s="52" t="n">
        <x:v>46225</x:v>
      </x:c>
      <x:c r="D36" s="32" t="str">
        <x:v>Comment</x:v>
      </x:c>
      <x:c r="E36" s="32" t="str">
        <x:v>IC-0032</x:v>
      </x:c>
      <x:c r="F36" s="32" t="str">
        <x:v>Post confirmation</x:v>
      </x:c>
      <x:c r="G36" s="32" t="str">
        <x:v>Post</x:v>
      </x:c>
      <x:c r="H36" s="32" t="str">
        <x:v>10:37</x:v>
      </x:c>
      <x:c r="I36" s="32" t="str">
        <x:v>interview_assets/evidence/EVD-SYN-0032-POST.png</x:v>
      </x:c>
      <x:c r="J36" s="32" t="str"/>
      <x:c r="K36" s="32" t="str"/>
      <x:c r="L36" s="55" t="str"/>
      <x:c r="M36" s="32" t="str">
        <x:v>Not Required</x:v>
      </x:c>
      <x:c r="N36" s="32" t="str">
        <x:v>COMMENT_EXECUTION</x:v>
      </x:c>
      <x:c r="O36" s="32" t="n">
        <x:v>36</x:v>
      </x:c>
      <x:c r="P36" s="32" t="str">
        <x:v>Comment ID, account slot, post confirmation</x:v>
      </x:c>
      <x:c r="Q36" s="33" t="str">
        <x:v>Synthetic relative path only</x:v>
      </x:c>
    </x:row>
    <x:row r="37">
      <x:c r="A37" s="31" t="str">
        <x:v>EVD-SYN-0033-POST</x:v>
      </x:c>
      <x:c r="B37" s="32" t="str">
        <x:v>EVG-COM-0033</x:v>
      </x:c>
      <x:c r="C37" s="52" t="n">
        <x:v>46225</x:v>
      </x:c>
      <x:c r="D37" s="32" t="str">
        <x:v>Comment</x:v>
      </x:c>
      <x:c r="E37" s="32" t="str">
        <x:v>IC-0033</x:v>
      </x:c>
      <x:c r="F37" s="32" t="str">
        <x:v>Post confirmation</x:v>
      </x:c>
      <x:c r="G37" s="32" t="str">
        <x:v>Post</x:v>
      </x:c>
      <x:c r="H37" s="32" t="str">
        <x:v>11:44</x:v>
      </x:c>
      <x:c r="I37" s="32" t="str">
        <x:v>interview_assets/evidence/EVD-SYN-0033-POST.png</x:v>
      </x:c>
      <x:c r="J37" s="32" t="str"/>
      <x:c r="K37" s="32" t="str"/>
      <x:c r="L37" s="55" t="str"/>
      <x:c r="M37" s="32" t="str">
        <x:v>Not Required</x:v>
      </x:c>
      <x:c r="N37" s="32" t="str">
        <x:v>COMMENT_EXECUTION</x:v>
      </x:c>
      <x:c r="O37" s="32" t="n">
        <x:v>37</x:v>
      </x:c>
      <x:c r="P37" s="32" t="str">
        <x:v>Comment ID, account slot, post confirmation</x:v>
      </x:c>
      <x:c r="Q37" s="33" t="str">
        <x:v>Synthetic relative path only</x:v>
      </x:c>
    </x:row>
    <x:row r="38">
      <x:c r="A38" s="31" t="str">
        <x:v>EVD-SYN-0034-POST</x:v>
      </x:c>
      <x:c r="B38" s="32" t="str">
        <x:v>EVG-COM-0034</x:v>
      </x:c>
      <x:c r="C38" s="52" t="n">
        <x:v>46225</x:v>
      </x:c>
      <x:c r="D38" s="32" t="str">
        <x:v>Comment</x:v>
      </x:c>
      <x:c r="E38" s="32" t="str">
        <x:v>IC-0034</x:v>
      </x:c>
      <x:c r="F38" s="32" t="str">
        <x:v>Post confirmation</x:v>
      </x:c>
      <x:c r="G38" s="32" t="str">
        <x:v>Post</x:v>
      </x:c>
      <x:c r="H38" s="32" t="str">
        <x:v>12:51</x:v>
      </x:c>
      <x:c r="I38" s="32" t="str">
        <x:v>interview_assets/evidence/EVD-SYN-0034-POST.png</x:v>
      </x:c>
      <x:c r="J38" s="32" t="str"/>
      <x:c r="K38" s="32" t="str"/>
      <x:c r="L38" s="55" t="str"/>
      <x:c r="M38" s="32" t="str">
        <x:v>Not Required</x:v>
      </x:c>
      <x:c r="N38" s="32" t="str">
        <x:v>COMMENT_EXECUTION</x:v>
      </x:c>
      <x:c r="O38" s="32" t="n">
        <x:v>38</x:v>
      </x:c>
      <x:c r="P38" s="32" t="str">
        <x:v>Comment ID, account slot, post confirmation</x:v>
      </x:c>
      <x:c r="Q38" s="33" t="str">
        <x:v>Synthetic relative path only</x:v>
      </x:c>
    </x:row>
    <x:row r="39">
      <x:c r="A39" s="31" t="str">
        <x:v>EVD-SYN-0035-POST</x:v>
      </x:c>
      <x:c r="B39" s="32" t="str">
        <x:v>EVG-COM-0035</x:v>
      </x:c>
      <x:c r="C39" s="52" t="n">
        <x:v>46225</x:v>
      </x:c>
      <x:c r="D39" s="32" t="str">
        <x:v>Comment</x:v>
      </x:c>
      <x:c r="E39" s="32" t="str">
        <x:v>IC-0035</x:v>
      </x:c>
      <x:c r="F39" s="32" t="str">
        <x:v>Post confirmation</x:v>
      </x:c>
      <x:c r="G39" s="32" t="str">
        <x:v>Post</x:v>
      </x:c>
      <x:c r="H39" s="32" t="str">
        <x:v>13:58</x:v>
      </x:c>
      <x:c r="I39" s="32" t="str">
        <x:v>interview_assets/evidence/EVD-SYN-0035-POST.png</x:v>
      </x:c>
      <x:c r="J39" s="32" t="str"/>
      <x:c r="K39" s="32" t="str"/>
      <x:c r="L39" s="55" t="str"/>
      <x:c r="M39" s="32" t="str">
        <x:v>Not Required</x:v>
      </x:c>
      <x:c r="N39" s="32" t="str">
        <x:v>COMMENT_EXECUTION</x:v>
      </x:c>
      <x:c r="O39" s="32" t="n">
        <x:v>39</x:v>
      </x:c>
      <x:c r="P39" s="32" t="str">
        <x:v>Comment ID, account slot, post confirmation</x:v>
      </x:c>
      <x:c r="Q39" s="33" t="str">
        <x:v>Synthetic relative path only</x:v>
      </x:c>
    </x:row>
    <x:row r="40">
      <x:c r="A40" s="31" t="str">
        <x:v>EVD-SYN-0036-POST</x:v>
      </x:c>
      <x:c r="B40" s="32" t="str">
        <x:v>EVG-COM-0036</x:v>
      </x:c>
      <x:c r="C40" s="52" t="n">
        <x:v>46225</x:v>
      </x:c>
      <x:c r="D40" s="32" t="str">
        <x:v>Comment</x:v>
      </x:c>
      <x:c r="E40" s="32" t="str">
        <x:v>IC-0036</x:v>
      </x:c>
      <x:c r="F40" s="32" t="str">
        <x:v>Post confirmation</x:v>
      </x:c>
      <x:c r="G40" s="32" t="str">
        <x:v>Post</x:v>
      </x:c>
      <x:c r="H40" s="32" t="str">
        <x:v>14:05</x:v>
      </x:c>
      <x:c r="I40" s="32" t="str">
        <x:v>interview_assets/evidence/EVD-SYN-0036-POST.png</x:v>
      </x:c>
      <x:c r="J40" s="32" t="str"/>
      <x:c r="K40" s="32" t="str"/>
      <x:c r="L40" s="55" t="str"/>
      <x:c r="M40" s="32" t="str">
        <x:v>Not Required</x:v>
      </x:c>
      <x:c r="N40" s="32" t="str">
        <x:v>COMMENT_EXECUTION</x:v>
      </x:c>
      <x:c r="O40" s="32" t="n">
        <x:v>40</x:v>
      </x:c>
      <x:c r="P40" s="32" t="str">
        <x:v>Comment ID, account slot, post confirmation</x:v>
      </x:c>
      <x:c r="Q40" s="33" t="str">
        <x:v>Synthetic relative path only</x:v>
      </x:c>
    </x:row>
    <x:row r="41">
      <x:c r="A41" s="31" t="str">
        <x:v>EVD-SYN-0037-POST</x:v>
      </x:c>
      <x:c r="B41" s="32" t="str">
        <x:v>EVG-COM-0037</x:v>
      </x:c>
      <x:c r="C41" s="52" t="n">
        <x:v>46225</x:v>
      </x:c>
      <x:c r="D41" s="32" t="str">
        <x:v>Comment</x:v>
      </x:c>
      <x:c r="E41" s="32" t="str">
        <x:v>IC-0037</x:v>
      </x:c>
      <x:c r="F41" s="32" t="str">
        <x:v>Post confirmation</x:v>
      </x:c>
      <x:c r="G41" s="32" t="str">
        <x:v>Post</x:v>
      </x:c>
      <x:c r="H41" s="32" t="str">
        <x:v>15:12</x:v>
      </x:c>
      <x:c r="I41" s="32" t="str">
        <x:v>interview_assets/evidence/EVD-SYN-0037-POST.png</x:v>
      </x:c>
      <x:c r="J41" s="32" t="str"/>
      <x:c r="K41" s="32" t="str"/>
      <x:c r="L41" s="55" t="str"/>
      <x:c r="M41" s="32" t="str">
        <x:v>Not Required</x:v>
      </x:c>
      <x:c r="N41" s="32" t="str">
        <x:v>COMMENT_EXECUTION</x:v>
      </x:c>
      <x:c r="O41" s="32" t="n">
        <x:v>41</x:v>
      </x:c>
      <x:c r="P41" s="32" t="str">
        <x:v>Comment ID, account slot, post confirmation</x:v>
      </x:c>
      <x:c r="Q41" s="33" t="str">
        <x:v>Synthetic relative path only</x:v>
      </x:c>
    </x:row>
    <x:row r="42">
      <x:c r="A42" s="31" t="str">
        <x:v>EVD-SYN-0038-POST</x:v>
      </x:c>
      <x:c r="B42" s="32" t="str">
        <x:v>EVG-COM-0038</x:v>
      </x:c>
      <x:c r="C42" s="52" t="n">
        <x:v>46225</x:v>
      </x:c>
      <x:c r="D42" s="32" t="str">
        <x:v>Comment</x:v>
      </x:c>
      <x:c r="E42" s="32" t="str">
        <x:v>IC-0038</x:v>
      </x:c>
      <x:c r="F42" s="32" t="str">
        <x:v>Post confirmation</x:v>
      </x:c>
      <x:c r="G42" s="32" t="str">
        <x:v>Post</x:v>
      </x:c>
      <x:c r="H42" s="32" t="str">
        <x:v>16:19</x:v>
      </x:c>
      <x:c r="I42" s="32" t="str">
        <x:v>interview_assets/evidence/EVD-SYN-0038-POST.png</x:v>
      </x:c>
      <x:c r="J42" s="32" t="str"/>
      <x:c r="K42" s="32" t="str"/>
      <x:c r="L42" s="55" t="str"/>
      <x:c r="M42" s="32" t="str">
        <x:v>Not Required</x:v>
      </x:c>
      <x:c r="N42" s="32" t="str">
        <x:v>COMMENT_EXECUTION</x:v>
      </x:c>
      <x:c r="O42" s="32" t="n">
        <x:v>42</x:v>
      </x:c>
      <x:c r="P42" s="32" t="str">
        <x:v>Comment ID, account slot, post confirmation</x:v>
      </x:c>
      <x:c r="Q42" s="33" t="str">
        <x:v>Synthetic relative path only</x:v>
      </x:c>
    </x:row>
    <x:row r="43">
      <x:c r="A43" s="31" t="str">
        <x:v>EVD-SYN-0039-POST</x:v>
      </x:c>
      <x:c r="B43" s="32" t="str">
        <x:v>EVG-COM-0039</x:v>
      </x:c>
      <x:c r="C43" s="52" t="n">
        <x:v>46225</x:v>
      </x:c>
      <x:c r="D43" s="32" t="str">
        <x:v>Comment</x:v>
      </x:c>
      <x:c r="E43" s="32" t="str">
        <x:v>IC-0039</x:v>
      </x:c>
      <x:c r="F43" s="32" t="str">
        <x:v>Post confirmation</x:v>
      </x:c>
      <x:c r="G43" s="32" t="str">
        <x:v>Post</x:v>
      </x:c>
      <x:c r="H43" s="32" t="str">
        <x:v>17:26</x:v>
      </x:c>
      <x:c r="I43" s="32" t="str">
        <x:v>interview_assets/evidence/EVD-SYN-0039-POST.png</x:v>
      </x:c>
      <x:c r="J43" s="32" t="str"/>
      <x:c r="K43" s="32" t="str"/>
      <x:c r="L43" s="55" t="str"/>
      <x:c r="M43" s="32" t="str">
        <x:v>Not Required</x:v>
      </x:c>
      <x:c r="N43" s="32" t="str">
        <x:v>COMMENT_EXECUTION</x:v>
      </x:c>
      <x:c r="O43" s="32" t="n">
        <x:v>43</x:v>
      </x:c>
      <x:c r="P43" s="32" t="str">
        <x:v>Comment ID, account slot, post confirmation</x:v>
      </x:c>
      <x:c r="Q43" s="33" t="str">
        <x:v>Synthetic relative path only</x:v>
      </x:c>
    </x:row>
    <x:row r="44">
      <x:c r="A44" s="31" t="str">
        <x:v>EVD-SYN-0040-POST</x:v>
      </x:c>
      <x:c r="B44" s="32" t="str">
        <x:v>EVG-COM-0040</x:v>
      </x:c>
      <x:c r="C44" s="52" t="n">
        <x:v>46225</x:v>
      </x:c>
      <x:c r="D44" s="32" t="str">
        <x:v>Comment</x:v>
      </x:c>
      <x:c r="E44" s="32" t="str">
        <x:v>IC-0040</x:v>
      </x:c>
      <x:c r="F44" s="32" t="str">
        <x:v>Post confirmation</x:v>
      </x:c>
      <x:c r="G44" s="32" t="str">
        <x:v>Post</x:v>
      </x:c>
      <x:c r="H44" s="32" t="str">
        <x:v>18:33</x:v>
      </x:c>
      <x:c r="I44" s="32" t="str">
        <x:v>interview_assets/evidence/EVD-SYN-0040-POST.png</x:v>
      </x:c>
      <x:c r="J44" s="32" t="str"/>
      <x:c r="K44" s="32" t="str"/>
      <x:c r="L44" s="55" t="str"/>
      <x:c r="M44" s="32" t="str">
        <x:v>Not Required</x:v>
      </x:c>
      <x:c r="N44" s="32" t="str">
        <x:v>COMMENT_EXECUTION</x:v>
      </x:c>
      <x:c r="O44" s="32" t="n">
        <x:v>45</x:v>
      </x:c>
      <x:c r="P44" s="32" t="str">
        <x:v>Comment ID, account slot, post confirmation</x:v>
      </x:c>
      <x:c r="Q44" s="33" t="str">
        <x:v>Synthetic relative path only</x:v>
      </x:c>
    </x:row>
    <x:row r="45">
      <x:c r="A45" s="31" t="str">
        <x:v>EVD-SYN-0041-POST</x:v>
      </x:c>
      <x:c r="B45" s="32" t="str">
        <x:v>EVG-COM-0041</x:v>
      </x:c>
      <x:c r="C45" s="52" t="n">
        <x:v>46225</x:v>
      </x:c>
      <x:c r="D45" s="32" t="str">
        <x:v>Comment</x:v>
      </x:c>
      <x:c r="E45" s="32" t="str">
        <x:v>IC-0041</x:v>
      </x:c>
      <x:c r="F45" s="32" t="str">
        <x:v>Post confirmation</x:v>
      </x:c>
      <x:c r="G45" s="32" t="str">
        <x:v>Post</x:v>
      </x:c>
      <x:c r="H45" s="32" t="str">
        <x:v>09:40</x:v>
      </x:c>
      <x:c r="I45" s="32" t="str">
        <x:v>interview_assets/evidence/EVD-SYN-0041-POST.png</x:v>
      </x:c>
      <x:c r="J45" s="32" t="str"/>
      <x:c r="K45" s="32" t="str"/>
      <x:c r="L45" s="55" t="str"/>
      <x:c r="M45" s="32" t="str">
        <x:v>Not Required</x:v>
      </x:c>
      <x:c r="N45" s="32" t="str">
        <x:v>COMMENT_EXECUTION</x:v>
      </x:c>
      <x:c r="O45" s="32" t="n">
        <x:v>45</x:v>
      </x:c>
      <x:c r="P45" s="32" t="str">
        <x:v>Comment ID, account slot, post confirmation</x:v>
      </x:c>
      <x:c r="Q45" s="33" t="str">
        <x:v>Synthetic relative path only</x:v>
      </x:c>
    </x:row>
    <x:row r="46">
      <x:c r="A46" s="31" t="str">
        <x:v>EVD-SYN-0042-POST</x:v>
      </x:c>
      <x:c r="B46" s="32" t="str">
        <x:v>EVG-COM-0042</x:v>
      </x:c>
      <x:c r="C46" s="52" t="n">
        <x:v>46225</x:v>
      </x:c>
      <x:c r="D46" s="32" t="str">
        <x:v>Comment</x:v>
      </x:c>
      <x:c r="E46" s="32" t="str">
        <x:v>IC-0042</x:v>
      </x:c>
      <x:c r="F46" s="32" t="str">
        <x:v>Post confirmation</x:v>
      </x:c>
      <x:c r="G46" s="32" t="str">
        <x:v>Post</x:v>
      </x:c>
      <x:c r="H46" s="32" t="str">
        <x:v>10:47</x:v>
      </x:c>
      <x:c r="I46" s="32" t="str">
        <x:v>interview_assets/evidence/EVD-SYN-0042-POST.png</x:v>
      </x:c>
      <x:c r="J46" s="32" t="str"/>
      <x:c r="K46" s="32" t="str"/>
      <x:c r="L46" s="55" t="str"/>
      <x:c r="M46" s="32" t="str">
        <x:v>Not Required</x:v>
      </x:c>
      <x:c r="N46" s="32" t="str">
        <x:v>COMMENT_EXECUTION</x:v>
      </x:c>
      <x:c r="O46" s="32" t="n">
        <x:v>46</x:v>
      </x:c>
      <x:c r="P46" s="32" t="str">
        <x:v>Comment ID, account slot, post confirmation</x:v>
      </x:c>
      <x:c r="Q46" s="33" t="str">
        <x:v>Synthetic relative path only</x:v>
      </x:c>
    </x:row>
    <x:row r="47">
      <x:c r="A47" s="31" t="str">
        <x:v>EVD-SYN-0043-POST</x:v>
      </x:c>
      <x:c r="B47" s="32" t="str">
        <x:v>EVG-COM-0043</x:v>
      </x:c>
      <x:c r="C47" s="52" t="n">
        <x:v>46225</x:v>
      </x:c>
      <x:c r="D47" s="32" t="str">
        <x:v>Comment</x:v>
      </x:c>
      <x:c r="E47" s="32" t="str">
        <x:v>IC-0043</x:v>
      </x:c>
      <x:c r="F47" s="32" t="str">
        <x:v>Post confirmation</x:v>
      </x:c>
      <x:c r="G47" s="32" t="str">
        <x:v>Post</x:v>
      </x:c>
      <x:c r="H47" s="32" t="str">
        <x:v>11:54</x:v>
      </x:c>
      <x:c r="I47" s="32" t="str">
        <x:v>interview_assets/evidence/EVD-SYN-0043-POST.png</x:v>
      </x:c>
      <x:c r="J47" s="32" t="str"/>
      <x:c r="K47" s="32" t="str"/>
      <x:c r="L47" s="55" t="str"/>
      <x:c r="M47" s="32" t="str">
        <x:v>Not Required</x:v>
      </x:c>
      <x:c r="N47" s="32" t="str">
        <x:v>COMMENT_EXECUTION</x:v>
      </x:c>
      <x:c r="O47" s="32" t="n">
        <x:v>47</x:v>
      </x:c>
      <x:c r="P47" s="32" t="str">
        <x:v>Comment ID, account slot, post confirmation</x:v>
      </x:c>
      <x:c r="Q47" s="33" t="str">
        <x:v>Synthetic relative path only</x:v>
      </x:c>
    </x:row>
    <x:row r="48">
      <x:c r="A48" s="31" t="str">
        <x:v>EVD-SYN-0044-POST</x:v>
      </x:c>
      <x:c r="B48" s="32" t="str">
        <x:v>EVG-COM-0044</x:v>
      </x:c>
      <x:c r="C48" s="52" t="n">
        <x:v>46225</x:v>
      </x:c>
      <x:c r="D48" s="32" t="str">
        <x:v>Comment</x:v>
      </x:c>
      <x:c r="E48" s="32" t="str">
        <x:v>IC-0044</x:v>
      </x:c>
      <x:c r="F48" s="32" t="str">
        <x:v>Post confirmation</x:v>
      </x:c>
      <x:c r="G48" s="32" t="str">
        <x:v>Post</x:v>
      </x:c>
      <x:c r="H48" s="32" t="str">
        <x:v>12:01</x:v>
      </x:c>
      <x:c r="I48" s="32" t="str">
        <x:v>interview_assets/evidence/EVD-SYN-0044-POST.png</x:v>
      </x:c>
      <x:c r="J48" s="32" t="str"/>
      <x:c r="K48" s="32" t="str"/>
      <x:c r="L48" s="55" t="str"/>
      <x:c r="M48" s="32" t="str">
        <x:v>Not Required</x:v>
      </x:c>
      <x:c r="N48" s="32" t="str">
        <x:v>COMMENT_EXECUTION</x:v>
      </x:c>
      <x:c r="O48" s="32" t="n">
        <x:v>48</x:v>
      </x:c>
      <x:c r="P48" s="32" t="str">
        <x:v>Comment ID, account slot, post confirmation</x:v>
      </x:c>
      <x:c r="Q48" s="33" t="str">
        <x:v>Synthetic relative path only</x:v>
      </x:c>
    </x:row>
    <x:row r="49">
      <x:c r="A49" s="31" t="str">
        <x:v>EVD-SYN-0045-POST</x:v>
      </x:c>
      <x:c r="B49" s="32" t="str">
        <x:v>EVG-COM-0045</x:v>
      </x:c>
      <x:c r="C49" s="52" t="n">
        <x:v>46225</x:v>
      </x:c>
      <x:c r="D49" s="32" t="str">
        <x:v>Comment</x:v>
      </x:c>
      <x:c r="E49" s="32" t="str">
        <x:v>IC-0045</x:v>
      </x:c>
      <x:c r="F49" s="32" t="str">
        <x:v>Post confirmation</x:v>
      </x:c>
      <x:c r="G49" s="32" t="str">
        <x:v>Post</x:v>
      </x:c>
      <x:c r="H49" s="32" t="str">
        <x:v>13:08</x:v>
      </x:c>
      <x:c r="I49" s="32" t="str">
        <x:v>interview_assets/evidence/EVD-SYN-0045-POST.png</x:v>
      </x:c>
      <x:c r="J49" s="32" t="str"/>
      <x:c r="K49" s="32" t="str"/>
      <x:c r="L49" s="55" t="str"/>
      <x:c r="M49" s="32" t="str">
        <x:v>Not Required</x:v>
      </x:c>
      <x:c r="N49" s="32" t="str">
        <x:v>COMMENT_EXECUTION</x:v>
      </x:c>
      <x:c r="O49" s="32" t="n">
        <x:v>49</x:v>
      </x:c>
      <x:c r="P49" s="32" t="str">
        <x:v>Comment ID, account slot, post confirmation</x:v>
      </x:c>
      <x:c r="Q49" s="33" t="str">
        <x:v>Synthetic relative path only</x:v>
      </x:c>
    </x:row>
    <x:row r="50">
      <x:c r="A50" s="31" t="str">
        <x:v>EVD-SYN-0046-POST</x:v>
      </x:c>
      <x:c r="B50" s="32" t="str">
        <x:v>EVG-COM-0046</x:v>
      </x:c>
      <x:c r="C50" s="52" t="n">
        <x:v>46225</x:v>
      </x:c>
      <x:c r="D50" s="32" t="str">
        <x:v>Comment</x:v>
      </x:c>
      <x:c r="E50" s="32" t="str">
        <x:v>IC-0046</x:v>
      </x:c>
      <x:c r="F50" s="32" t="str">
        <x:v>Post confirmation</x:v>
      </x:c>
      <x:c r="G50" s="32" t="str">
        <x:v>Post</x:v>
      </x:c>
      <x:c r="H50" s="32" t="str">
        <x:v>14:15</x:v>
      </x:c>
      <x:c r="I50" s="32" t="str">
        <x:v>interview_assets/evidence/EVD-SYN-0046-POST.png</x:v>
      </x:c>
      <x:c r="J50" s="32" t="str"/>
      <x:c r="K50" s="32" t="str"/>
      <x:c r="L50" s="55" t="str"/>
      <x:c r="M50" s="32" t="str">
        <x:v>Not Required</x:v>
      </x:c>
      <x:c r="N50" s="32" t="str">
        <x:v>COMMENT_EXECUTION</x:v>
      </x:c>
      <x:c r="O50" s="32" t="n">
        <x:v>50</x:v>
      </x:c>
      <x:c r="P50" s="32" t="str">
        <x:v>Comment ID, account slot, post confirmation</x:v>
      </x:c>
      <x:c r="Q50" s="33" t="str">
        <x:v>Synthetic relative path only</x:v>
      </x:c>
    </x:row>
    <x:row r="51">
      <x:c r="A51" s="31" t="str">
        <x:v>EVD-SYN-0047-POST</x:v>
      </x:c>
      <x:c r="B51" s="32" t="str">
        <x:v>EVG-COM-0047</x:v>
      </x:c>
      <x:c r="C51" s="52" t="n">
        <x:v>46225</x:v>
      </x:c>
      <x:c r="D51" s="32" t="str">
        <x:v>Comment</x:v>
      </x:c>
      <x:c r="E51" s="32" t="str">
        <x:v>IC-0047</x:v>
      </x:c>
      <x:c r="F51" s="32" t="str">
        <x:v>Post confirmation</x:v>
      </x:c>
      <x:c r="G51" s="32" t="str">
        <x:v>Post</x:v>
      </x:c>
      <x:c r="H51" s="32" t="str">
        <x:v>15:22</x:v>
      </x:c>
      <x:c r="I51" s="32" t="str">
        <x:v>interview_assets/evidence/EVD-SYN-0047-POST.png</x:v>
      </x:c>
      <x:c r="J51" s="32" t="str"/>
      <x:c r="K51" s="32" t="str"/>
      <x:c r="L51" s="55" t="str"/>
      <x:c r="M51" s="32" t="str">
        <x:v>Not Required</x:v>
      </x:c>
      <x:c r="N51" s="32" t="str">
        <x:v>COMMENT_EXECUTION</x:v>
      </x:c>
      <x:c r="O51" s="32" t="n">
        <x:v>51</x:v>
      </x:c>
      <x:c r="P51" s="32" t="str">
        <x:v>Comment ID, account slot, post confirmation</x:v>
      </x:c>
      <x:c r="Q51" s="33" t="str">
        <x:v>Synthetic relative path only</x:v>
      </x:c>
    </x:row>
    <x:row r="52">
      <x:c r="A52" s="31" t="str">
        <x:v>EVD-SYN-0048-POST</x:v>
      </x:c>
      <x:c r="B52" s="32" t="str">
        <x:v>EVG-COM-0048</x:v>
      </x:c>
      <x:c r="C52" s="52" t="n">
        <x:v>46225</x:v>
      </x:c>
      <x:c r="D52" s="32" t="str">
        <x:v>Comment</x:v>
      </x:c>
      <x:c r="E52" s="32" t="str">
        <x:v>IC-0048</x:v>
      </x:c>
      <x:c r="F52" s="32" t="str">
        <x:v>Post confirmation</x:v>
      </x:c>
      <x:c r="G52" s="32" t="str">
        <x:v>Post</x:v>
      </x:c>
      <x:c r="H52" s="32" t="str">
        <x:v>16:29</x:v>
      </x:c>
      <x:c r="I52" s="32" t="str">
        <x:v>interview_assets/evidence/EVD-SYN-0048-POST.png</x:v>
      </x:c>
      <x:c r="J52" s="32" t="str"/>
      <x:c r="K52" s="32" t="str"/>
      <x:c r="L52" s="55" t="str"/>
      <x:c r="M52" s="32" t="str">
        <x:v>Not Required</x:v>
      </x:c>
      <x:c r="N52" s="32" t="str">
        <x:v>COMMENT_EXECUTION</x:v>
      </x:c>
      <x:c r="O52" s="32" t="n">
        <x:v>52</x:v>
      </x:c>
      <x:c r="P52" s="32" t="str">
        <x:v>Comment ID, account slot, post confirmation</x:v>
      </x:c>
      <x:c r="Q52" s="33" t="str">
        <x:v>Synthetic relative path only</x:v>
      </x:c>
    </x:row>
    <x:row r="53">
      <x:c r="A53" s="31" t="str">
        <x:v>EVD-SYN-0049-POST</x:v>
      </x:c>
      <x:c r="B53" s="32" t="str">
        <x:v>EVG-COM-0049</x:v>
      </x:c>
      <x:c r="C53" s="52" t="n">
        <x:v>46225</x:v>
      </x:c>
      <x:c r="D53" s="32" t="str">
        <x:v>Comment</x:v>
      </x:c>
      <x:c r="E53" s="32" t="str">
        <x:v>IC-0049</x:v>
      </x:c>
      <x:c r="F53" s="32" t="str">
        <x:v>Post confirmation</x:v>
      </x:c>
      <x:c r="G53" s="32" t="str">
        <x:v>Post</x:v>
      </x:c>
      <x:c r="H53" s="32" t="str">
        <x:v>17:36</x:v>
      </x:c>
      <x:c r="I53" s="32" t="str">
        <x:v>interview_assets/evidence/EVD-SYN-0049-POST.png</x:v>
      </x:c>
      <x:c r="J53" s="32" t="str"/>
      <x:c r="K53" s="32" t="str"/>
      <x:c r="L53" s="55" t="str"/>
      <x:c r="M53" s="32" t="str">
        <x:v>Not Required</x:v>
      </x:c>
      <x:c r="N53" s="32" t="str">
        <x:v>COMMENT_EXECUTION</x:v>
      </x:c>
      <x:c r="O53" s="32" t="n">
        <x:v>53</x:v>
      </x:c>
      <x:c r="P53" s="32" t="str">
        <x:v>Comment ID, account slot, post confirmation</x:v>
      </x:c>
      <x:c r="Q53" s="33" t="str">
        <x:v>Synthetic relative path only</x:v>
      </x:c>
    </x:row>
    <x:row r="54">
      <x:c r="A54" s="31" t="str">
        <x:v>EVD-SYN-0050-POST</x:v>
      </x:c>
      <x:c r="B54" s="32" t="str">
        <x:v>EVG-COM-0050</x:v>
      </x:c>
      <x:c r="C54" s="52" t="n">
        <x:v>46225</x:v>
      </x:c>
      <x:c r="D54" s="32" t="str">
        <x:v>Comment</x:v>
      </x:c>
      <x:c r="E54" s="32" t="str">
        <x:v>IC-0050</x:v>
      </x:c>
      <x:c r="F54" s="32" t="str">
        <x:v>Post confirmation</x:v>
      </x:c>
      <x:c r="G54" s="32" t="str">
        <x:v>Post</x:v>
      </x:c>
      <x:c r="H54" s="32" t="str">
        <x:v>18:43</x:v>
      </x:c>
      <x:c r="I54" s="32" t="str">
        <x:v>interview_assets/evidence/EVD-SYN-0050-POST.png</x:v>
      </x:c>
      <x:c r="J54" s="32" t="str"/>
      <x:c r="K54" s="32" t="str"/>
      <x:c r="L54" s="55" t="str"/>
      <x:c r="M54" s="32" t="str">
        <x:v>Not Required</x:v>
      </x:c>
      <x:c r="N54" s="32" t="str">
        <x:v>COMMENT_EXECUTION</x:v>
      </x:c>
      <x:c r="O54" s="32" t="n">
        <x:v>54</x:v>
      </x:c>
      <x:c r="P54" s="32" t="str">
        <x:v>Comment ID, account slot, post confirmation</x:v>
      </x:c>
      <x:c r="Q54" s="33" t="str">
        <x:v>Synthetic relative path only</x:v>
      </x:c>
    </x:row>
    <x:row r="55">
      <x:c r="A55" s="31" t="str">
        <x:v>EVD-SYN-0051-POST</x:v>
      </x:c>
      <x:c r="B55" s="32" t="str">
        <x:v>EVG-COM-0051</x:v>
      </x:c>
      <x:c r="C55" s="52" t="n">
        <x:v>46226</x:v>
      </x:c>
      <x:c r="D55" s="32" t="str">
        <x:v>Comment</x:v>
      </x:c>
      <x:c r="E55" s="32" t="str">
        <x:v>IC-0051</x:v>
      </x:c>
      <x:c r="F55" s="32" t="str">
        <x:v>Post confirmation</x:v>
      </x:c>
      <x:c r="G55" s="32" t="str">
        <x:v>Post</x:v>
      </x:c>
      <x:c r="H55" s="32" t="str">
        <x:v>09:50</x:v>
      </x:c>
      <x:c r="I55" s="32" t="str">
        <x:v>interview_assets/evidence/EVD-SYN-0051-POST.png</x:v>
      </x:c>
      <x:c r="J55" s="32" t="str"/>
      <x:c r="K55" s="32" t="str"/>
      <x:c r="L55" s="55" t="str"/>
      <x:c r="M55" s="32" t="str">
        <x:v>Not Required</x:v>
      </x:c>
      <x:c r="N55" s="32" t="str">
        <x:v>COMMENT_EXECUTION</x:v>
      </x:c>
      <x:c r="O55" s="32" t="n">
        <x:v>55</x:v>
      </x:c>
      <x:c r="P55" s="32" t="str">
        <x:v>Comment ID, account slot, post confirmation</x:v>
      </x:c>
      <x:c r="Q55" s="33" t="str">
        <x:v>Synthetic relative path only</x:v>
      </x:c>
    </x:row>
    <x:row r="56">
      <x:c r="A56" s="31" t="str">
        <x:v>EVD-SYN-0052-POST</x:v>
      </x:c>
      <x:c r="B56" s="32" t="str">
        <x:v>EVG-COM-0052</x:v>
      </x:c>
      <x:c r="C56" s="52" t="n">
        <x:v>46226</x:v>
      </x:c>
      <x:c r="D56" s="32" t="str">
        <x:v>Comment</x:v>
      </x:c>
      <x:c r="E56" s="32" t="str">
        <x:v>IC-0052</x:v>
      </x:c>
      <x:c r="F56" s="32" t="str">
        <x:v>Post confirmation</x:v>
      </x:c>
      <x:c r="G56" s="32" t="str">
        <x:v>Post</x:v>
      </x:c>
      <x:c r="H56" s="32" t="str">
        <x:v>10:57</x:v>
      </x:c>
      <x:c r="I56" s="32" t="str">
        <x:v>interview_assets/evidence/EVD-SYN-0052-POST.png</x:v>
      </x:c>
      <x:c r="J56" s="32" t="str"/>
      <x:c r="K56" s="32" t="str"/>
      <x:c r="L56" s="55" t="str"/>
      <x:c r="M56" s="32" t="str">
        <x:v>Not Required</x:v>
      </x:c>
      <x:c r="N56" s="32" t="str">
        <x:v>COMMENT_EXECUTION</x:v>
      </x:c>
      <x:c r="O56" s="32" t="n">
        <x:v>56</x:v>
      </x:c>
      <x:c r="P56" s="32" t="str">
        <x:v>Comment ID, account slot, post confirmation</x:v>
      </x:c>
      <x:c r="Q56" s="33" t="str">
        <x:v>Synthetic relative path only</x:v>
      </x:c>
    </x:row>
    <x:row r="57">
      <x:c r="A57" s="31" t="str">
        <x:v>EVD-SYN-0053-POST</x:v>
      </x:c>
      <x:c r="B57" s="32" t="str">
        <x:v>EVG-COM-0053</x:v>
      </x:c>
      <x:c r="C57" s="52" t="n">
        <x:v>46226</x:v>
      </x:c>
      <x:c r="D57" s="32" t="str">
        <x:v>Comment</x:v>
      </x:c>
      <x:c r="E57" s="32" t="str">
        <x:v>IC-0053</x:v>
      </x:c>
      <x:c r="F57" s="32" t="str">
        <x:v>Post confirmation</x:v>
      </x:c>
      <x:c r="G57" s="32" t="str">
        <x:v>Post</x:v>
      </x:c>
      <x:c r="H57" s="32" t="str">
        <x:v>11:04</x:v>
      </x:c>
      <x:c r="I57" s="32" t="str">
        <x:v>interview_assets/evidence/EVD-SYN-0053-POST.png</x:v>
      </x:c>
      <x:c r="J57" s="32" t="str"/>
      <x:c r="K57" s="32" t="str"/>
      <x:c r="L57" s="55" t="str"/>
      <x:c r="M57" s="32" t="str">
        <x:v>Not Required</x:v>
      </x:c>
      <x:c r="N57" s="32" t="str">
        <x:v>COMMENT_EXECUTION</x:v>
      </x:c>
      <x:c r="O57" s="32" t="n">
        <x:v>57</x:v>
      </x:c>
      <x:c r="P57" s="32" t="str">
        <x:v>Comment ID, account slot, post confirmation</x:v>
      </x:c>
      <x:c r="Q57" s="33" t="str">
        <x:v>Synthetic relative path only</x:v>
      </x:c>
    </x:row>
    <x:row r="58">
      <x:c r="A58" s="31" t="str">
        <x:v>EVD-SYN-0054-POST</x:v>
      </x:c>
      <x:c r="B58" s="32" t="str">
        <x:v>EVG-COM-0054</x:v>
      </x:c>
      <x:c r="C58" s="52" t="n">
        <x:v>46226</x:v>
      </x:c>
      <x:c r="D58" s="32" t="str">
        <x:v>Comment</x:v>
      </x:c>
      <x:c r="E58" s="32" t="str">
        <x:v>IC-0054</x:v>
      </x:c>
      <x:c r="F58" s="32" t="str">
        <x:v>Post confirmation</x:v>
      </x:c>
      <x:c r="G58" s="32" t="str">
        <x:v>Post</x:v>
      </x:c>
      <x:c r="H58" s="32" t="str">
        <x:v>12:11</x:v>
      </x:c>
      <x:c r="I58" s="32" t="str">
        <x:v>interview_assets/evidence/EVD-SYN-0054-POST.png</x:v>
      </x:c>
      <x:c r="J58" s="32" t="str"/>
      <x:c r="K58" s="32" t="str"/>
      <x:c r="L58" s="55" t="str"/>
      <x:c r="M58" s="32" t="str">
        <x:v>Not Required</x:v>
      </x:c>
      <x:c r="N58" s="32" t="str">
        <x:v>COMMENT_EXECUTION</x:v>
      </x:c>
      <x:c r="O58" s="32" t="n">
        <x:v>58</x:v>
      </x:c>
      <x:c r="P58" s="32" t="str">
        <x:v>Comment ID, account slot, post confirmation</x:v>
      </x:c>
      <x:c r="Q58" s="33" t="str">
        <x:v>Synthetic relative path only</x:v>
      </x:c>
    </x:row>
    <x:row r="59">
      <x:c r="A59" s="31" t="str">
        <x:v>EVD-SYN-0055-POST</x:v>
      </x:c>
      <x:c r="B59" s="32" t="str">
        <x:v>EVG-COM-0055</x:v>
      </x:c>
      <x:c r="C59" s="52" t="n">
        <x:v>46226</x:v>
      </x:c>
      <x:c r="D59" s="32" t="str">
        <x:v>Comment</x:v>
      </x:c>
      <x:c r="E59" s="32" t="str">
        <x:v>IC-0055</x:v>
      </x:c>
      <x:c r="F59" s="32" t="str">
        <x:v>Post confirmation</x:v>
      </x:c>
      <x:c r="G59" s="32" t="str">
        <x:v>Post</x:v>
      </x:c>
      <x:c r="H59" s="32" t="str">
        <x:v>13:18</x:v>
      </x:c>
      <x:c r="I59" s="32" t="str">
        <x:v>interview_assets/evidence/EVD-SYN-0055-POST.png</x:v>
      </x:c>
      <x:c r="J59" s="32" t="str"/>
      <x:c r="K59" s="32" t="str"/>
      <x:c r="L59" s="55" t="str"/>
      <x:c r="M59" s="32" t="str">
        <x:v>Not Required</x:v>
      </x:c>
      <x:c r="N59" s="32" t="str">
        <x:v>COMMENT_EXECUTION</x:v>
      </x:c>
      <x:c r="O59" s="32" t="n">
        <x:v>59</x:v>
      </x:c>
      <x:c r="P59" s="32" t="str">
        <x:v>Comment ID, account slot, post confirmation</x:v>
      </x:c>
      <x:c r="Q59" s="33" t="str">
        <x:v>Synthetic relative path only</x:v>
      </x:c>
    </x:row>
    <x:row r="60">
      <x:c r="A60" s="31" t="str">
        <x:v>EVD-SYN-0056-POST</x:v>
      </x:c>
      <x:c r="B60" s="32" t="str">
        <x:v>EVG-COM-0056</x:v>
      </x:c>
      <x:c r="C60" s="52" t="n">
        <x:v>46226</x:v>
      </x:c>
      <x:c r="D60" s="32" t="str">
        <x:v>Comment</x:v>
      </x:c>
      <x:c r="E60" s="32" t="str">
        <x:v>IC-0056</x:v>
      </x:c>
      <x:c r="F60" s="32" t="str">
        <x:v>Post confirmation</x:v>
      </x:c>
      <x:c r="G60" s="32" t="str">
        <x:v>Post</x:v>
      </x:c>
      <x:c r="H60" s="32" t="str">
        <x:v>14:25</x:v>
      </x:c>
      <x:c r="I60" s="32" t="str">
        <x:v>interview_assets/evidence/EVD-SYN-0056-POST.png</x:v>
      </x:c>
      <x:c r="J60" s="32" t="str"/>
      <x:c r="K60" s="32" t="str"/>
      <x:c r="L60" s="55" t="str"/>
      <x:c r="M60" s="32" t="str">
        <x:v>Not Required</x:v>
      </x:c>
      <x:c r="N60" s="32" t="str">
        <x:v>COMMENT_EXECUTION</x:v>
      </x:c>
      <x:c r="O60" s="32" t="n">
        <x:v>60</x:v>
      </x:c>
      <x:c r="P60" s="32" t="str">
        <x:v>Comment ID, account slot, post confirmation</x:v>
      </x:c>
      <x:c r="Q60" s="33" t="str">
        <x:v>Synthetic relative path only</x:v>
      </x:c>
    </x:row>
    <x:row r="61">
      <x:c r="A61" s="31" t="str">
        <x:v>EVD-SYN-0057-POST</x:v>
      </x:c>
      <x:c r="B61" s="32" t="str">
        <x:v>EVG-COM-0057</x:v>
      </x:c>
      <x:c r="C61" s="52" t="n">
        <x:v>46226</x:v>
      </x:c>
      <x:c r="D61" s="32" t="str">
        <x:v>Comment</x:v>
      </x:c>
      <x:c r="E61" s="32" t="str">
        <x:v>IC-0057</x:v>
      </x:c>
      <x:c r="F61" s="32" t="str">
        <x:v>Post confirmation</x:v>
      </x:c>
      <x:c r="G61" s="32" t="str">
        <x:v>Post</x:v>
      </x:c>
      <x:c r="H61" s="32" t="str">
        <x:v>15:32</x:v>
      </x:c>
      <x:c r="I61" s="32" t="str">
        <x:v>interview_assets/evidence/EVD-SYN-0057-POST.png</x:v>
      </x:c>
      <x:c r="J61" s="32" t="str"/>
      <x:c r="K61" s="32" t="str"/>
      <x:c r="L61" s="55" t="str"/>
      <x:c r="M61" s="32" t="str">
        <x:v>Not Required</x:v>
      </x:c>
      <x:c r="N61" s="32" t="str">
        <x:v>COMMENT_EXECUTION</x:v>
      </x:c>
      <x:c r="O61" s="32" t="n">
        <x:v>61</x:v>
      </x:c>
      <x:c r="P61" s="32" t="str">
        <x:v>Comment ID, account slot, post confirmation</x:v>
      </x:c>
      <x:c r="Q61" s="33" t="str">
        <x:v>Synthetic relative path only</x:v>
      </x:c>
    </x:row>
    <x:row r="62">
      <x:c r="A62" s="31" t="str">
        <x:v>EVD-SYN-0058-POST</x:v>
      </x:c>
      <x:c r="B62" s="32" t="str">
        <x:v>EVG-COM-0058</x:v>
      </x:c>
      <x:c r="C62" s="52" t="n">
        <x:v>46226</x:v>
      </x:c>
      <x:c r="D62" s="32" t="str">
        <x:v>Comment</x:v>
      </x:c>
      <x:c r="E62" s="32" t="str">
        <x:v>IC-0058</x:v>
      </x:c>
      <x:c r="F62" s="32" t="str">
        <x:v>Post confirmation</x:v>
      </x:c>
      <x:c r="G62" s="32" t="str">
        <x:v>Post</x:v>
      </x:c>
      <x:c r="H62" s="32" t="str">
        <x:v>16:39</x:v>
      </x:c>
      <x:c r="I62" s="32" t="str">
        <x:v>interview_assets/evidence/EVD-SYN-0058-POST.png</x:v>
      </x:c>
      <x:c r="J62" s="32" t="str"/>
      <x:c r="K62" s="32" t="str"/>
      <x:c r="L62" s="55" t="str"/>
      <x:c r="M62" s="32" t="str">
        <x:v>Not Required</x:v>
      </x:c>
      <x:c r="N62" s="32" t="str">
        <x:v>COMMENT_EXECUTION</x:v>
      </x:c>
      <x:c r="O62" s="32" t="n">
        <x:v>62</x:v>
      </x:c>
      <x:c r="P62" s="32" t="str">
        <x:v>Comment ID, account slot, post confirmation</x:v>
      </x:c>
      <x:c r="Q62" s="33" t="str">
        <x:v>Synthetic relative path only</x:v>
      </x:c>
    </x:row>
    <x:row r="63">
      <x:c r="A63" s="31" t="str">
        <x:v>EVD-SYN-0059-POST</x:v>
      </x:c>
      <x:c r="B63" s="32" t="str">
        <x:v>EVG-COM-0059</x:v>
      </x:c>
      <x:c r="C63" s="52" t="n">
        <x:v>46226</x:v>
      </x:c>
      <x:c r="D63" s="32" t="str">
        <x:v>Comment</x:v>
      </x:c>
      <x:c r="E63" s="32" t="str">
        <x:v>IC-0059</x:v>
      </x:c>
      <x:c r="F63" s="32" t="str">
        <x:v>Post confirmation</x:v>
      </x:c>
      <x:c r="G63" s="32" t="str">
        <x:v>Post</x:v>
      </x:c>
      <x:c r="H63" s="32" t="str">
        <x:v>17:46</x:v>
      </x:c>
      <x:c r="I63" s="32" t="str">
        <x:v>interview_assets/evidence/EVD-SYN-0059-POST.png</x:v>
      </x:c>
      <x:c r="J63" s="32" t="str"/>
      <x:c r="K63" s="32" t="str"/>
      <x:c r="L63" s="55" t="str"/>
      <x:c r="M63" s="32" t="str">
        <x:v>Not Required</x:v>
      </x:c>
      <x:c r="N63" s="32" t="str">
        <x:v>COMMENT_EXECUTION</x:v>
      </x:c>
      <x:c r="O63" s="32" t="n">
        <x:v>63</x:v>
      </x:c>
      <x:c r="P63" s="32" t="str">
        <x:v>Comment ID, account slot, post confirmation</x:v>
      </x:c>
      <x:c r="Q63" s="33" t="str">
        <x:v>Synthetic relative path only</x:v>
      </x:c>
    </x:row>
    <x:row r="64">
      <x:c r="A64" s="31" t="str">
        <x:v>EVD-SYN-0060-POST</x:v>
      </x:c>
      <x:c r="B64" s="32" t="str">
        <x:v>EVG-COM-0060</x:v>
      </x:c>
      <x:c r="C64" s="52" t="n">
        <x:v>46226</x:v>
      </x:c>
      <x:c r="D64" s="32" t="str">
        <x:v>Comment</x:v>
      </x:c>
      <x:c r="E64" s="32" t="str">
        <x:v>IC-0060</x:v>
      </x:c>
      <x:c r="F64" s="32" t="str">
        <x:v>Post confirmation</x:v>
      </x:c>
      <x:c r="G64" s="32" t="str">
        <x:v>Post</x:v>
      </x:c>
      <x:c r="H64" s="32" t="str">
        <x:v>18:53</x:v>
      </x:c>
      <x:c r="I64" s="32" t="str">
        <x:v>interview_assets/evidence/EVD-SYN-0060-POST.png</x:v>
      </x:c>
      <x:c r="J64" s="32" t="str"/>
      <x:c r="K64" s="32" t="str"/>
      <x:c r="L64" s="55" t="str"/>
      <x:c r="M64" s="32" t="str">
        <x:v>Not Required</x:v>
      </x:c>
      <x:c r="N64" s="32" t="str">
        <x:v>COMMENT_EXECUTION</x:v>
      </x:c>
      <x:c r="O64" s="32" t="n">
        <x:v>64</x:v>
      </x:c>
      <x:c r="P64" s="32" t="str">
        <x:v>Comment ID, account slot, post confirmation</x:v>
      </x:c>
      <x:c r="Q64" s="33" t="str">
        <x:v>Synthetic relative path only</x:v>
      </x:c>
    </x:row>
    <x:row r="65">
      <x:c r="A65" s="31" t="str">
        <x:v>EVD-SYN-0061-POST</x:v>
      </x:c>
      <x:c r="B65" s="32" t="str">
        <x:v>EVG-COM-0061</x:v>
      </x:c>
      <x:c r="C65" s="52" t="n">
        <x:v>46226</x:v>
      </x:c>
      <x:c r="D65" s="32" t="str">
        <x:v>Comment</x:v>
      </x:c>
      <x:c r="E65" s="32" t="str">
        <x:v>IC-0061</x:v>
      </x:c>
      <x:c r="F65" s="32" t="str">
        <x:v>Post confirmation</x:v>
      </x:c>
      <x:c r="G65" s="32" t="str">
        <x:v>Post</x:v>
      </x:c>
      <x:c r="H65" s="32" t="str">
        <x:v>09:00</x:v>
      </x:c>
      <x:c r="I65" s="32" t="str">
        <x:v>interview_assets/evidence/EVD-SYN-0061-POST.png</x:v>
      </x:c>
      <x:c r="J65" s="32" t="str"/>
      <x:c r="K65" s="32" t="str"/>
      <x:c r="L65" s="55" t="str"/>
      <x:c r="M65" s="32" t="str">
        <x:v>Not Required</x:v>
      </x:c>
      <x:c r="N65" s="32" t="str">
        <x:v>COMMENT_EXECUTION</x:v>
      </x:c>
      <x:c r="O65" s="32" t="n">
        <x:v>65</x:v>
      </x:c>
      <x:c r="P65" s="32" t="str">
        <x:v>Comment ID, account slot, post confirmation</x:v>
      </x:c>
      <x:c r="Q65" s="33" t="str">
        <x:v>Synthetic relative path only</x:v>
      </x:c>
    </x:row>
    <x:row r="66">
      <x:c r="A66" s="31" t="str">
        <x:v>EVD-SYN-0062-POST</x:v>
      </x:c>
      <x:c r="B66" s="32" t="str">
        <x:v>EVG-COM-0062</x:v>
      </x:c>
      <x:c r="C66" s="52" t="n">
        <x:v>46226</x:v>
      </x:c>
      <x:c r="D66" s="32" t="str">
        <x:v>Comment</x:v>
      </x:c>
      <x:c r="E66" s="32" t="str">
        <x:v>IC-0062</x:v>
      </x:c>
      <x:c r="F66" s="32" t="str">
        <x:v>Post confirmation</x:v>
      </x:c>
      <x:c r="G66" s="32" t="str">
        <x:v>Post</x:v>
      </x:c>
      <x:c r="H66" s="32" t="str">
        <x:v>10:07</x:v>
      </x:c>
      <x:c r="I66" s="32" t="str">
        <x:v>interview_assets/evidence/EVD-SYN-0062-POST.png</x:v>
      </x:c>
      <x:c r="J66" s="32" t="str"/>
      <x:c r="K66" s="32" t="str"/>
      <x:c r="L66" s="55" t="str"/>
      <x:c r="M66" s="32" t="str">
        <x:v>Not Required</x:v>
      </x:c>
      <x:c r="N66" s="32" t="str">
        <x:v>COMMENT_EXECUTION</x:v>
      </x:c>
      <x:c r="O66" s="32" t="n">
        <x:v>66</x:v>
      </x:c>
      <x:c r="P66" s="32" t="str">
        <x:v>Comment ID, account slot, post confirmation</x:v>
      </x:c>
      <x:c r="Q66" s="33" t="str">
        <x:v>Synthetic relative path only</x:v>
      </x:c>
    </x:row>
    <x:row r="67">
      <x:c r="A67" s="31" t="str">
        <x:v>EVD-SYN-0063-POST</x:v>
      </x:c>
      <x:c r="B67" s="32" t="str">
        <x:v>EVG-COM-0063</x:v>
      </x:c>
      <x:c r="C67" s="52" t="n">
        <x:v>46226</x:v>
      </x:c>
      <x:c r="D67" s="32" t="str">
        <x:v>Comment</x:v>
      </x:c>
      <x:c r="E67" s="32" t="str">
        <x:v>IC-0063</x:v>
      </x:c>
      <x:c r="F67" s="32" t="str">
        <x:v>Post confirmation</x:v>
      </x:c>
      <x:c r="G67" s="32" t="str">
        <x:v>Post</x:v>
      </x:c>
      <x:c r="H67" s="32" t="str">
        <x:v>11:14</x:v>
      </x:c>
      <x:c r="I67" s="32" t="str">
        <x:v>interview_assets/evidence/EVD-SYN-0063-POST.png</x:v>
      </x:c>
      <x:c r="J67" s="32" t="str"/>
      <x:c r="K67" s="32" t="str"/>
      <x:c r="L67" s="55" t="str"/>
      <x:c r="M67" s="32" t="str">
        <x:v>Not Required</x:v>
      </x:c>
      <x:c r="N67" s="32" t="str">
        <x:v>COMMENT_EXECUTION</x:v>
      </x:c>
      <x:c r="O67" s="32" t="n">
        <x:v>67</x:v>
      </x:c>
      <x:c r="P67" s="32" t="str">
        <x:v>Comment ID, account slot, post confirmation</x:v>
      </x:c>
      <x:c r="Q67" s="33" t="str">
        <x:v>Synthetic relative path only</x:v>
      </x:c>
    </x:row>
    <x:row r="68">
      <x:c r="A68" s="31" t="str">
        <x:v>EVD-SYN-0064-POST</x:v>
      </x:c>
      <x:c r="B68" s="32" t="str">
        <x:v>EVG-COM-0064</x:v>
      </x:c>
      <x:c r="C68" s="52" t="n">
        <x:v>46226</x:v>
      </x:c>
      <x:c r="D68" s="32" t="str">
        <x:v>Comment</x:v>
      </x:c>
      <x:c r="E68" s="32" t="str">
        <x:v>IC-0064</x:v>
      </x:c>
      <x:c r="F68" s="32" t="str">
        <x:v>Post confirmation</x:v>
      </x:c>
      <x:c r="G68" s="32" t="str">
        <x:v>Post</x:v>
      </x:c>
      <x:c r="H68" s="32" t="str">
        <x:v>12:21</x:v>
      </x:c>
      <x:c r="I68" s="32" t="str">
        <x:v>interview_assets/evidence/EVD-SYN-0064-POST.png</x:v>
      </x:c>
      <x:c r="J68" s="32" t="str"/>
      <x:c r="K68" s="32" t="str"/>
      <x:c r="L68" s="55" t="str"/>
      <x:c r="M68" s="32" t="str">
        <x:v>Not Required</x:v>
      </x:c>
      <x:c r="N68" s="32" t="str">
        <x:v>COMMENT_EXECUTION</x:v>
      </x:c>
      <x:c r="O68" s="32" t="n">
        <x:v>68</x:v>
      </x:c>
      <x:c r="P68" s="32" t="str">
        <x:v>Comment ID, account slot, post confirmation</x:v>
      </x:c>
      <x:c r="Q68" s="33" t="str">
        <x:v>Synthetic relative path only</x:v>
      </x:c>
    </x:row>
    <x:row r="69">
      <x:c r="A69" s="31" t="str">
        <x:v>EVD-SYN-0065-POST</x:v>
      </x:c>
      <x:c r="B69" s="32" t="str">
        <x:v>EVG-COM-0065</x:v>
      </x:c>
      <x:c r="C69" s="52" t="n">
        <x:v>46226</x:v>
      </x:c>
      <x:c r="D69" s="32" t="str">
        <x:v>Comment</x:v>
      </x:c>
      <x:c r="E69" s="32" t="str">
        <x:v>IC-0065</x:v>
      </x:c>
      <x:c r="F69" s="32" t="str">
        <x:v>Post confirmation</x:v>
      </x:c>
      <x:c r="G69" s="32" t="str">
        <x:v>Post</x:v>
      </x:c>
      <x:c r="H69" s="32" t="str">
        <x:v>13:28</x:v>
      </x:c>
      <x:c r="I69" s="32" t="str">
        <x:v>interview_assets/evidence/EVD-SYN-0065-POST.png</x:v>
      </x:c>
      <x:c r="J69" s="32" t="str"/>
      <x:c r="K69" s="32" t="str"/>
      <x:c r="L69" s="55" t="str"/>
      <x:c r="M69" s="32" t="str">
        <x:v>Not Required</x:v>
      </x:c>
      <x:c r="N69" s="32" t="str">
        <x:v>COMMENT_EXECUTION</x:v>
      </x:c>
      <x:c r="O69" s="32" t="n">
        <x:v>69</x:v>
      </x:c>
      <x:c r="P69" s="32" t="str">
        <x:v>Comment ID, account slot, post confirmation</x:v>
      </x:c>
      <x:c r="Q69" s="33" t="str">
        <x:v>Synthetic relative path only</x:v>
      </x:c>
    </x:row>
    <x:row r="70">
      <x:c r="A70" s="31" t="str">
        <x:v>EVD-SYN-0066-POST</x:v>
      </x:c>
      <x:c r="B70" s="32" t="str">
        <x:v>EVG-COM-0066</x:v>
      </x:c>
      <x:c r="C70" s="52" t="n">
        <x:v>46226</x:v>
      </x:c>
      <x:c r="D70" s="32" t="str">
        <x:v>Comment</x:v>
      </x:c>
      <x:c r="E70" s="32" t="str">
        <x:v>IC-0066</x:v>
      </x:c>
      <x:c r="F70" s="32" t="str">
        <x:v>Post confirmation</x:v>
      </x:c>
      <x:c r="G70" s="32" t="str">
        <x:v>Post</x:v>
      </x:c>
      <x:c r="H70" s="32" t="str">
        <x:v>14:35</x:v>
      </x:c>
      <x:c r="I70" s="32" t="str">
        <x:v>interview_assets/evidence/EVD-SYN-0066-POST.png</x:v>
      </x:c>
      <x:c r="J70" s="32" t="str"/>
      <x:c r="K70" s="32" t="str"/>
      <x:c r="L70" s="55" t="str"/>
      <x:c r="M70" s="32" t="str">
        <x:v>Not Required</x:v>
      </x:c>
      <x:c r="N70" s="32" t="str">
        <x:v>COMMENT_EXECUTION</x:v>
      </x:c>
      <x:c r="O70" s="32" t="n">
        <x:v>70</x:v>
      </x:c>
      <x:c r="P70" s="32" t="str">
        <x:v>Comment ID, account slot, post confirmation</x:v>
      </x:c>
      <x:c r="Q70" s="33" t="str">
        <x:v>Synthetic relative path only</x:v>
      </x:c>
    </x:row>
    <x:row r="71">
      <x:c r="A71" s="31" t="str">
        <x:v>EVD-SYN-0067-POST</x:v>
      </x:c>
      <x:c r="B71" s="32" t="str">
        <x:v>EVG-COM-0067</x:v>
      </x:c>
      <x:c r="C71" s="52" t="n">
        <x:v>46226</x:v>
      </x:c>
      <x:c r="D71" s="32" t="str">
        <x:v>Comment</x:v>
      </x:c>
      <x:c r="E71" s="32" t="str">
        <x:v>IC-0067</x:v>
      </x:c>
      <x:c r="F71" s="32" t="str">
        <x:v>Post confirmation</x:v>
      </x:c>
      <x:c r="G71" s="32" t="str">
        <x:v>Post</x:v>
      </x:c>
      <x:c r="H71" s="32" t="str">
        <x:v>15:42</x:v>
      </x:c>
      <x:c r="I71" s="32" t="str">
        <x:v>interview_assets/evidence/EVD-SYN-0067-POST.png</x:v>
      </x:c>
      <x:c r="J71" s="32" t="str"/>
      <x:c r="K71" s="32" t="str"/>
      <x:c r="L71" s="55" t="str"/>
      <x:c r="M71" s="32" t="str">
        <x:v>Not Required</x:v>
      </x:c>
      <x:c r="N71" s="32" t="str">
        <x:v>COMMENT_EXECUTION</x:v>
      </x:c>
      <x:c r="O71" s="32" t="n">
        <x:v>71</x:v>
      </x:c>
      <x:c r="P71" s="32" t="str">
        <x:v>Comment ID, account slot, post confirmation</x:v>
      </x:c>
      <x:c r="Q71" s="33" t="str">
        <x:v>Synthetic relative path only</x:v>
      </x:c>
    </x:row>
    <x:row r="72">
      <x:c r="A72" s="31" t="str">
        <x:v>EVD-SYN-0068-POST</x:v>
      </x:c>
      <x:c r="B72" s="32" t="str">
        <x:v>EVG-COM-0068</x:v>
      </x:c>
      <x:c r="C72" s="52" t="n">
        <x:v>46226</x:v>
      </x:c>
      <x:c r="D72" s="32" t="str">
        <x:v>Comment</x:v>
      </x:c>
      <x:c r="E72" s="32" t="str">
        <x:v>IC-0068</x:v>
      </x:c>
      <x:c r="F72" s="32" t="str">
        <x:v>Post confirmation</x:v>
      </x:c>
      <x:c r="G72" s="32" t="str">
        <x:v>Post</x:v>
      </x:c>
      <x:c r="H72" s="32" t="str">
        <x:v>16:49</x:v>
      </x:c>
      <x:c r="I72" s="32" t="str">
        <x:v>interview_assets/evidence/EVD-SYN-0068-POST.png</x:v>
      </x:c>
      <x:c r="J72" s="32" t="str"/>
      <x:c r="K72" s="32" t="str"/>
      <x:c r="L72" s="55" t="str"/>
      <x:c r="M72" s="32" t="str">
        <x:v>Not Required</x:v>
      </x:c>
      <x:c r="N72" s="32" t="str">
        <x:v>COMMENT_EXECUTION</x:v>
      </x:c>
      <x:c r="O72" s="32" t="n">
        <x:v>72</x:v>
      </x:c>
      <x:c r="P72" s="32" t="str">
        <x:v>Comment ID, account slot, post confirmation</x:v>
      </x:c>
      <x:c r="Q72" s="33" t="str">
        <x:v>Synthetic relative path only</x:v>
      </x:c>
    </x:row>
    <x:row r="73">
      <x:c r="A73" s="31" t="str">
        <x:v>EVD-SYN-0069-POST</x:v>
      </x:c>
      <x:c r="B73" s="32" t="str">
        <x:v>EVG-COM-0069</x:v>
      </x:c>
      <x:c r="C73" s="52" t="n">
        <x:v>46226</x:v>
      </x:c>
      <x:c r="D73" s="32" t="str">
        <x:v>Comment</x:v>
      </x:c>
      <x:c r="E73" s="32" t="str">
        <x:v>IC-0069</x:v>
      </x:c>
      <x:c r="F73" s="32" t="str">
        <x:v>Post confirmation</x:v>
      </x:c>
      <x:c r="G73" s="32" t="str">
        <x:v>Post</x:v>
      </x:c>
      <x:c r="H73" s="32" t="str">
        <x:v>17:56</x:v>
      </x:c>
      <x:c r="I73" s="32" t="str">
        <x:v>interview_assets/evidence/EVD-SYN-0069-POST.png</x:v>
      </x:c>
      <x:c r="J73" s="32" t="str"/>
      <x:c r="K73" s="32" t="str"/>
      <x:c r="L73" s="55" t="str"/>
      <x:c r="M73" s="32" t="str">
        <x:v>Not Required</x:v>
      </x:c>
      <x:c r="N73" s="32" t="str">
        <x:v>COMMENT_EXECUTION</x:v>
      </x:c>
      <x:c r="O73" s="32" t="n">
        <x:v>73</x:v>
      </x:c>
      <x:c r="P73" s="32" t="str">
        <x:v>Comment ID, account slot, post confirmation</x:v>
      </x:c>
      <x:c r="Q73" s="33" t="str">
        <x:v>Synthetic relative path only</x:v>
      </x:c>
    </x:row>
    <x:row r="74">
      <x:c r="A74" s="31" t="str">
        <x:v>EVD-SYN-0070-POST</x:v>
      </x:c>
      <x:c r="B74" s="32" t="str">
        <x:v>EVG-COM-0070</x:v>
      </x:c>
      <x:c r="C74" s="52" t="n">
        <x:v>46226</x:v>
      </x:c>
      <x:c r="D74" s="32" t="str">
        <x:v>Comment</x:v>
      </x:c>
      <x:c r="E74" s="32" t="str">
        <x:v>IC-0070</x:v>
      </x:c>
      <x:c r="F74" s="32" t="str">
        <x:v>Post confirmation</x:v>
      </x:c>
      <x:c r="G74" s="32" t="str">
        <x:v>Post</x:v>
      </x:c>
      <x:c r="H74" s="32" t="str">
        <x:v>18:03</x:v>
      </x:c>
      <x:c r="I74" s="32" t="str">
        <x:v>interview_assets/evidence/EVD-SYN-0070-POST.png</x:v>
      </x:c>
      <x:c r="J74" s="32" t="str"/>
      <x:c r="K74" s="32" t="str"/>
      <x:c r="L74" s="55" t="str"/>
      <x:c r="M74" s="32" t="str">
        <x:v>Not Required</x:v>
      </x:c>
      <x:c r="N74" s="32" t="str">
        <x:v>COMMENT_EXECUTION</x:v>
      </x:c>
      <x:c r="O74" s="32" t="n">
        <x:v>74</x:v>
      </x:c>
      <x:c r="P74" s="32" t="str">
        <x:v>Comment ID, account slot, post confirmation</x:v>
      </x:c>
      <x:c r="Q74" s="33" t="str">
        <x:v>Synthetic relative path only</x:v>
      </x:c>
    </x:row>
    <x:row r="75">
      <x:c r="A75" s="31" t="str">
        <x:v>EVD-SYN-0071-POST</x:v>
      </x:c>
      <x:c r="B75" s="32" t="str">
        <x:v>EVG-COM-0071</x:v>
      </x:c>
      <x:c r="C75" s="52" t="n">
        <x:v>46226</x:v>
      </x:c>
      <x:c r="D75" s="32" t="str">
        <x:v>Comment</x:v>
      </x:c>
      <x:c r="E75" s="32" t="str">
        <x:v>IC-0071</x:v>
      </x:c>
      <x:c r="F75" s="32" t="str">
        <x:v>Post confirmation</x:v>
      </x:c>
      <x:c r="G75" s="32" t="str">
        <x:v>Post</x:v>
      </x:c>
      <x:c r="H75" s="32" t="str">
        <x:v>09:10</x:v>
      </x:c>
      <x:c r="I75" s="32" t="str">
        <x:v>interview_assets/evidence/EVD-SYN-0071-POST.png</x:v>
      </x:c>
      <x:c r="J75" s="32" t="str"/>
      <x:c r="K75" s="32" t="str"/>
      <x:c r="L75" s="55" t="str"/>
      <x:c r="M75" s="32" t="str">
        <x:v>Not Required</x:v>
      </x:c>
      <x:c r="N75" s="32" t="str">
        <x:v>COMMENT_EXECUTION</x:v>
      </x:c>
      <x:c r="O75" s="32" t="n">
        <x:v>75</x:v>
      </x:c>
      <x:c r="P75" s="32" t="str">
        <x:v>Comment ID, account slot, post confirmation</x:v>
      </x:c>
      <x:c r="Q75" s="33" t="str">
        <x:v>Synthetic relative path only</x:v>
      </x:c>
    </x:row>
    <x:row r="76">
      <x:c r="A76" s="31" t="str">
        <x:v>EVD-SYN-0072-POST</x:v>
      </x:c>
      <x:c r="B76" s="32" t="str">
        <x:v>EVG-COM-0072</x:v>
      </x:c>
      <x:c r="C76" s="52" t="n">
        <x:v>46226</x:v>
      </x:c>
      <x:c r="D76" s="32" t="str">
        <x:v>Comment</x:v>
      </x:c>
      <x:c r="E76" s="32" t="str">
        <x:v>IC-0072</x:v>
      </x:c>
      <x:c r="F76" s="32" t="str">
        <x:v>Post confirmation</x:v>
      </x:c>
      <x:c r="G76" s="32" t="str">
        <x:v>Post</x:v>
      </x:c>
      <x:c r="H76" s="32" t="str">
        <x:v>10:17</x:v>
      </x:c>
      <x:c r="I76" s="32" t="str">
        <x:v>interview_assets/evidence/EVD-SYN-0072-POST.png</x:v>
      </x:c>
      <x:c r="J76" s="32" t="str"/>
      <x:c r="K76" s="32" t="str"/>
      <x:c r="L76" s="55" t="str"/>
      <x:c r="M76" s="32" t="str">
        <x:v>Not Required</x:v>
      </x:c>
      <x:c r="N76" s="32" t="str">
        <x:v>COMMENT_EXECUTION</x:v>
      </x:c>
      <x:c r="O76" s="32" t="n">
        <x:v>76</x:v>
      </x:c>
      <x:c r="P76" s="32" t="str">
        <x:v>Comment ID, account slot, post confirmation</x:v>
      </x:c>
      <x:c r="Q76" s="33" t="str">
        <x:v>Synthetic relative path only</x:v>
      </x:c>
    </x:row>
    <x:row r="77">
      <x:c r="A77" s="31" t="str">
        <x:v>EVD-SYN-0073-POST</x:v>
      </x:c>
      <x:c r="B77" s="32" t="str">
        <x:v>EVG-COM-0073</x:v>
      </x:c>
      <x:c r="C77" s="52" t="n">
        <x:v>46226</x:v>
      </x:c>
      <x:c r="D77" s="32" t="str">
        <x:v>Comment</x:v>
      </x:c>
      <x:c r="E77" s="32" t="str">
        <x:v>IC-0073</x:v>
      </x:c>
      <x:c r="F77" s="32" t="str">
        <x:v>Post confirmation</x:v>
      </x:c>
      <x:c r="G77" s="32" t="str">
        <x:v>Post</x:v>
      </x:c>
      <x:c r="H77" s="32" t="str">
        <x:v>11:24</x:v>
      </x:c>
      <x:c r="I77" s="32" t="str">
        <x:v>interview_assets/evidence/EVD-SYN-0073-POST.png</x:v>
      </x:c>
      <x:c r="J77" s="32" t="str"/>
      <x:c r="K77" s="32" t="str"/>
      <x:c r="L77" s="55" t="str"/>
      <x:c r="M77" s="32" t="str">
        <x:v>Not Required</x:v>
      </x:c>
      <x:c r="N77" s="32" t="str">
        <x:v>COMMENT_EXECUTION</x:v>
      </x:c>
      <x:c r="O77" s="32" t="n">
        <x:v>77</x:v>
      </x:c>
      <x:c r="P77" s="32" t="str">
        <x:v>Comment ID, account slot, post confirmation</x:v>
      </x:c>
      <x:c r="Q77" s="33" t="str">
        <x:v>Synthetic relative path only</x:v>
      </x:c>
    </x:row>
    <x:row r="78">
      <x:c r="A78" s="31" t="str">
        <x:v>EVD-SYN-0074-POST</x:v>
      </x:c>
      <x:c r="B78" s="32" t="str">
        <x:v>EVG-COM-0074</x:v>
      </x:c>
      <x:c r="C78" s="52" t="n">
        <x:v>46226</x:v>
      </x:c>
      <x:c r="D78" s="32" t="str">
        <x:v>Comment</x:v>
      </x:c>
      <x:c r="E78" s="32" t="str">
        <x:v>IC-0074</x:v>
      </x:c>
      <x:c r="F78" s="32" t="str">
        <x:v>Post confirmation</x:v>
      </x:c>
      <x:c r="G78" s="32" t="str">
        <x:v>Post</x:v>
      </x:c>
      <x:c r="H78" s="32" t="str">
        <x:v>12:31</x:v>
      </x:c>
      <x:c r="I78" s="32" t="str">
        <x:v>interview_assets/evidence/EVD-SYN-0074-POST.png</x:v>
      </x:c>
      <x:c r="J78" s="32" t="str"/>
      <x:c r="K78" s="32" t="str"/>
      <x:c r="L78" s="55" t="str"/>
      <x:c r="M78" s="32" t="str">
        <x:v>Not Required</x:v>
      </x:c>
      <x:c r="N78" s="32" t="str">
        <x:v>COMMENT_EXECUTION</x:v>
      </x:c>
      <x:c r="O78" s="32" t="n">
        <x:v>78</x:v>
      </x:c>
      <x:c r="P78" s="32" t="str">
        <x:v>Comment ID, account slot, post confirmation</x:v>
      </x:c>
      <x:c r="Q78" s="33" t="str">
        <x:v>Synthetic relative path only</x:v>
      </x:c>
    </x:row>
    <x:row r="79">
      <x:c r="A79" s="31" t="str">
        <x:v>EVD-SYN-0075-POST</x:v>
      </x:c>
      <x:c r="B79" s="32" t="str">
        <x:v>EVG-COM-0075</x:v>
      </x:c>
      <x:c r="C79" s="52" t="n">
        <x:v>46226</x:v>
      </x:c>
      <x:c r="D79" s="32" t="str">
        <x:v>Comment</x:v>
      </x:c>
      <x:c r="E79" s="32" t="str">
        <x:v>IC-0075</x:v>
      </x:c>
      <x:c r="F79" s="32" t="str">
        <x:v>Post confirmation</x:v>
      </x:c>
      <x:c r="G79" s="32" t="str">
        <x:v>Post</x:v>
      </x:c>
      <x:c r="H79" s="32" t="str">
        <x:v>13:38</x:v>
      </x:c>
      <x:c r="I79" s="32" t="str">
        <x:v>interview_assets/evidence/EVD-SYN-0075-POST.png</x:v>
      </x:c>
      <x:c r="J79" s="32" t="str"/>
      <x:c r="K79" s="32" t="str"/>
      <x:c r="L79" s="55" t="str"/>
      <x:c r="M79" s="32" t="str">
        <x:v>Not Required</x:v>
      </x:c>
      <x:c r="N79" s="32" t="str">
        <x:v>COMMENT_EXECUTION</x:v>
      </x:c>
      <x:c r="O79" s="32" t="n">
        <x:v>79</x:v>
      </x:c>
      <x:c r="P79" s="32" t="str">
        <x:v>Comment ID, account slot, post confirmation</x:v>
      </x:c>
      <x:c r="Q79" s="33" t="str">
        <x:v>Synthetic relative path only</x:v>
      </x:c>
    </x:row>
    <x:row r="80">
      <x:c r="A80" s="31" t="str">
        <x:v>EVD-SYN-0076-POST</x:v>
      </x:c>
      <x:c r="B80" s="32" t="str">
        <x:v>EVG-COM-0076</x:v>
      </x:c>
      <x:c r="C80" s="52" t="n">
        <x:v>46227</x:v>
      </x:c>
      <x:c r="D80" s="32" t="str">
        <x:v>Comment</x:v>
      </x:c>
      <x:c r="E80" s="32" t="str">
        <x:v>IC-0076</x:v>
      </x:c>
      <x:c r="F80" s="32" t="str">
        <x:v>Post confirmation</x:v>
      </x:c>
      <x:c r="G80" s="32" t="str">
        <x:v>Post</x:v>
      </x:c>
      <x:c r="H80" s="32" t="str">
        <x:v>14:45</x:v>
      </x:c>
      <x:c r="I80" s="32" t="str">
        <x:v>interview_assets/evidence/EVD-SYN-0076-POST.png</x:v>
      </x:c>
      <x:c r="J80" s="32" t="str"/>
      <x:c r="K80" s="32" t="str"/>
      <x:c r="L80" s="55" t="str"/>
      <x:c r="M80" s="32" t="str">
        <x:v>Not Required</x:v>
      </x:c>
      <x:c r="N80" s="32" t="str">
        <x:v>COMMENT_EXECUTION</x:v>
      </x:c>
      <x:c r="O80" s="32" t="n">
        <x:v>80</x:v>
      </x:c>
      <x:c r="P80" s="32" t="str">
        <x:v>Comment ID, account slot, post confirmation</x:v>
      </x:c>
      <x:c r="Q80" s="33" t="str">
        <x:v>Synthetic relative path only</x:v>
      </x:c>
    </x:row>
    <x:row r="81">
      <x:c r="A81" s="31" t="str">
        <x:v>EVD-SYN-0077-POST</x:v>
      </x:c>
      <x:c r="B81" s="32" t="str">
        <x:v>EVG-COM-0077</x:v>
      </x:c>
      <x:c r="C81" s="52" t="n">
        <x:v>46227</x:v>
      </x:c>
      <x:c r="D81" s="32" t="str">
        <x:v>Comment</x:v>
      </x:c>
      <x:c r="E81" s="32" t="str">
        <x:v>IC-0077</x:v>
      </x:c>
      <x:c r="F81" s="32" t="str">
        <x:v>Post confirmation</x:v>
      </x:c>
      <x:c r="G81" s="32" t="str">
        <x:v>Post</x:v>
      </x:c>
      <x:c r="H81" s="32" t="str">
        <x:v>15:52</x:v>
      </x:c>
      <x:c r="I81" s="32" t="str">
        <x:v>interview_assets/evidence/EVD-SYN-0077-POST.png</x:v>
      </x:c>
      <x:c r="J81" s="32" t="str"/>
      <x:c r="K81" s="32" t="str"/>
      <x:c r="L81" s="55" t="str"/>
      <x:c r="M81" s="32" t="str">
        <x:v>Not Required</x:v>
      </x:c>
      <x:c r="N81" s="32" t="str">
        <x:v>COMMENT_EXECUTION</x:v>
      </x:c>
      <x:c r="O81" s="32" t="n">
        <x:v>81</x:v>
      </x:c>
      <x:c r="P81" s="32" t="str">
        <x:v>Comment ID, account slot, post confirmation</x:v>
      </x:c>
      <x:c r="Q81" s="33" t="str">
        <x:v>Synthetic relative path only</x:v>
      </x:c>
    </x:row>
    <x:row r="82">
      <x:c r="A82" s="31" t="str">
        <x:v>EVD-SYN-0078-POST</x:v>
      </x:c>
      <x:c r="B82" s="32" t="str">
        <x:v>EVG-COM-0078</x:v>
      </x:c>
      <x:c r="C82" s="52" t="n">
        <x:v>46227</x:v>
      </x:c>
      <x:c r="D82" s="32" t="str">
        <x:v>Comment</x:v>
      </x:c>
      <x:c r="E82" s="32" t="str">
        <x:v>IC-0078</x:v>
      </x:c>
      <x:c r="F82" s="32" t="str">
        <x:v>Post confirmation</x:v>
      </x:c>
      <x:c r="G82" s="32" t="str">
        <x:v>Post</x:v>
      </x:c>
      <x:c r="H82" s="32" t="str">
        <x:v>16:59</x:v>
      </x:c>
      <x:c r="I82" s="32" t="str">
        <x:v>interview_assets/evidence/EVD-SYN-0078-POST.png</x:v>
      </x:c>
      <x:c r="J82" s="32" t="str"/>
      <x:c r="K82" s="32" t="str"/>
      <x:c r="L82" s="55" t="str"/>
      <x:c r="M82" s="32" t="str">
        <x:v>Not Required</x:v>
      </x:c>
      <x:c r="N82" s="32" t="str">
        <x:v>COMMENT_EXECUTION</x:v>
      </x:c>
      <x:c r="O82" s="32" t="n">
        <x:v>82</x:v>
      </x:c>
      <x:c r="P82" s="32" t="str">
        <x:v>Comment ID, account slot, post confirmation</x:v>
      </x:c>
      <x:c r="Q82" s="33" t="str">
        <x:v>Synthetic relative path only</x:v>
      </x:c>
    </x:row>
    <x:row r="83">
      <x:c r="A83" s="31" t="str">
        <x:v>EVD-SYN-0079-POST</x:v>
      </x:c>
      <x:c r="B83" s="32" t="str">
        <x:v>EVG-COM-0079</x:v>
      </x:c>
      <x:c r="C83" s="52" t="n">
        <x:v>46227</x:v>
      </x:c>
      <x:c r="D83" s="32" t="str">
        <x:v>Comment</x:v>
      </x:c>
      <x:c r="E83" s="32" t="str">
        <x:v>IC-0079</x:v>
      </x:c>
      <x:c r="F83" s="32" t="str">
        <x:v>Post confirmation</x:v>
      </x:c>
      <x:c r="G83" s="32" t="str">
        <x:v>Post</x:v>
      </x:c>
      <x:c r="H83" s="32" t="str">
        <x:v>17:06</x:v>
      </x:c>
      <x:c r="I83" s="32" t="str">
        <x:v>interview_assets/evidence/EVD-SYN-0079-POST.png</x:v>
      </x:c>
      <x:c r="J83" s="32" t="str"/>
      <x:c r="K83" s="32" t="str"/>
      <x:c r="L83" s="55" t="str"/>
      <x:c r="M83" s="32" t="str">
        <x:v>Not Required</x:v>
      </x:c>
      <x:c r="N83" s="32" t="str">
        <x:v>COMMENT_EXECUTION</x:v>
      </x:c>
      <x:c r="O83" s="32" t="n">
        <x:v>83</x:v>
      </x:c>
      <x:c r="P83" s="32" t="str">
        <x:v>Comment ID, account slot, post confirmation</x:v>
      </x:c>
      <x:c r="Q83" s="33" t="str">
        <x:v>Synthetic relative path only</x:v>
      </x:c>
    </x:row>
    <x:row r="84">
      <x:c r="A84" s="31" t="str">
        <x:v>EVD-SYN-0080-POST</x:v>
      </x:c>
      <x:c r="B84" s="32" t="str">
        <x:v>EVG-COM-0080</x:v>
      </x:c>
      <x:c r="C84" s="52" t="n">
        <x:v>46227</x:v>
      </x:c>
      <x:c r="D84" s="32" t="str">
        <x:v>Comment</x:v>
      </x:c>
      <x:c r="E84" s="32" t="str">
        <x:v>IC-0080</x:v>
      </x:c>
      <x:c r="F84" s="32" t="str">
        <x:v>Post confirmation</x:v>
      </x:c>
      <x:c r="G84" s="32" t="str">
        <x:v>Post</x:v>
      </x:c>
      <x:c r="H84" s="32" t="str">
        <x:v>03:15</x:v>
      </x:c>
      <x:c r="I84" s="32" t="str">
        <x:v>interview_assets/evidence/EVD-SYN-0080-POST.png</x:v>
      </x:c>
      <x:c r="J84" s="32" t="str"/>
      <x:c r="K84" s="32" t="str"/>
      <x:c r="L84" s="55" t="str"/>
      <x:c r="M84" s="32" t="str">
        <x:v>Not Required</x:v>
      </x:c>
      <x:c r="N84" s="32" t="str">
        <x:v>COMMENT_EXECUTION</x:v>
      </x:c>
      <x:c r="O84" s="32" t="n">
        <x:v>84</x:v>
      </x:c>
      <x:c r="P84" s="32" t="str">
        <x:v>Comment ID, account slot, post confirmation</x:v>
      </x:c>
      <x:c r="Q84" s="33" t="str">
        <x:v>Synthetic relative path only</x:v>
      </x:c>
    </x:row>
    <x:row r="85">
      <x:c r="A85" s="31" t="str">
        <x:v>EVD-SYN-0081-POST</x:v>
      </x:c>
      <x:c r="B85" s="32" t="str">
        <x:v>EVG-COM-0081</x:v>
      </x:c>
      <x:c r="C85" s="52" t="n">
        <x:v>46227</x:v>
      </x:c>
      <x:c r="D85" s="32" t="str">
        <x:v>Comment</x:v>
      </x:c>
      <x:c r="E85" s="32" t="str">
        <x:v>IC-0081</x:v>
      </x:c>
      <x:c r="F85" s="32" t="str">
        <x:v>Post confirmation</x:v>
      </x:c>
      <x:c r="G85" s="32" t="str">
        <x:v>Post</x:v>
      </x:c>
      <x:c r="H85" s="32" t="str">
        <x:v>09:20</x:v>
      </x:c>
      <x:c r="I85" s="32" t="str">
        <x:v>interview_assets/evidence/EVD-SYN-0081-POST.png</x:v>
      </x:c>
      <x:c r="J85" s="32" t="str"/>
      <x:c r="K85" s="32" t="str"/>
      <x:c r="L85" s="55" t="str"/>
      <x:c r="M85" s="32" t="str">
        <x:v>Not Required</x:v>
      </x:c>
      <x:c r="N85" s="32" t="str">
        <x:v>COMMENT_EXECUTION</x:v>
      </x:c>
      <x:c r="O85" s="32" t="n">
        <x:v>85</x:v>
      </x:c>
      <x:c r="P85" s="32" t="str">
        <x:v>Comment ID, account slot, post confirmation</x:v>
      </x:c>
      <x:c r="Q85" s="33" t="str">
        <x:v>Synthetic relative path only</x:v>
      </x:c>
    </x:row>
    <x:row r="86">
      <x:c r="A86" s="31" t="str">
        <x:v>EVD-SYN-0082-POST</x:v>
      </x:c>
      <x:c r="B86" s="32" t="str">
        <x:v>EVG-COM-0082</x:v>
      </x:c>
      <x:c r="C86" s="52" t="n">
        <x:v>46227</x:v>
      </x:c>
      <x:c r="D86" s="32" t="str">
        <x:v>Comment</x:v>
      </x:c>
      <x:c r="E86" s="32" t="str">
        <x:v>IC-0082</x:v>
      </x:c>
      <x:c r="F86" s="32" t="str">
        <x:v>Post confirmation</x:v>
      </x:c>
      <x:c r="G86" s="32" t="str">
        <x:v>Post</x:v>
      </x:c>
      <x:c r="H86" s="32" t="str">
        <x:v>10:27</x:v>
      </x:c>
      <x:c r="I86" s="32" t="str">
        <x:v>interview_assets/evidence/EVD-SYN-0082-POST.png</x:v>
      </x:c>
      <x:c r="J86" s="32" t="str"/>
      <x:c r="K86" s="32" t="str"/>
      <x:c r="L86" s="55" t="str"/>
      <x:c r="M86" s="32" t="str">
        <x:v>Not Required</x:v>
      </x:c>
      <x:c r="N86" s="32" t="str">
        <x:v>COMMENT_EXECUTION</x:v>
      </x:c>
      <x:c r="O86" s="32" t="n">
        <x:v>86</x:v>
      </x:c>
      <x:c r="P86" s="32" t="str">
        <x:v>Comment ID, account slot, post confirmation</x:v>
      </x:c>
      <x:c r="Q86" s="33" t="str">
        <x:v>Synthetic relative path only</x:v>
      </x:c>
    </x:row>
    <x:row r="87">
      <x:c r="A87" s="31" t="str">
        <x:v>EVD-SYN-0083-POST</x:v>
      </x:c>
      <x:c r="B87" s="32" t="str">
        <x:v>EVG-COM-0083</x:v>
      </x:c>
      <x:c r="C87" s="52" t="n">
        <x:v>46227</x:v>
      </x:c>
      <x:c r="D87" s="32" t="str">
        <x:v>Comment</x:v>
      </x:c>
      <x:c r="E87" s="32" t="str">
        <x:v>IC-0083</x:v>
      </x:c>
      <x:c r="F87" s="32" t="str">
        <x:v>Post confirmation</x:v>
      </x:c>
      <x:c r="G87" s="32" t="str">
        <x:v>Post</x:v>
      </x:c>
      <x:c r="H87" s="32" t="str">
        <x:v>11:34</x:v>
      </x:c>
      <x:c r="I87" s="32" t="str">
        <x:v>interview_assets/evidence/EVD-SYN-0083-POST.png</x:v>
      </x:c>
      <x:c r="J87" s="32" t="str"/>
      <x:c r="K87" s="32" t="str"/>
      <x:c r="L87" s="55" t="str"/>
      <x:c r="M87" s="32" t="str">
        <x:v>Not Required</x:v>
      </x:c>
      <x:c r="N87" s="32" t="str">
        <x:v>COMMENT_EXECUTION</x:v>
      </x:c>
      <x:c r="O87" s="32" t="n">
        <x:v>87</x:v>
      </x:c>
      <x:c r="P87" s="32" t="str">
        <x:v>Comment ID, account slot, post confirmation</x:v>
      </x:c>
      <x:c r="Q87" s="33" t="str">
        <x:v>Synthetic relative path only</x:v>
      </x:c>
    </x:row>
    <x:row r="88">
      <x:c r="A88" s="31" t="str">
        <x:v>EVD-SYN-0084-POST</x:v>
      </x:c>
      <x:c r="B88" s="32" t="str">
        <x:v>EVG-COM-0084</x:v>
      </x:c>
      <x:c r="C88" s="52" t="n">
        <x:v>46227</x:v>
      </x:c>
      <x:c r="D88" s="32" t="str">
        <x:v>Comment</x:v>
      </x:c>
      <x:c r="E88" s="32" t="str">
        <x:v>IC-0084</x:v>
      </x:c>
      <x:c r="F88" s="32" t="str">
        <x:v>Post confirmation</x:v>
      </x:c>
      <x:c r="G88" s="32" t="str">
        <x:v>Post</x:v>
      </x:c>
      <x:c r="H88" s="32" t="str">
        <x:v>12:41</x:v>
      </x:c>
      <x:c r="I88" s="32" t="str">
        <x:v>interview_assets/evidence/EVD-SYN-0084-POST.png</x:v>
      </x:c>
      <x:c r="J88" s="32" t="str"/>
      <x:c r="K88" s="32" t="str"/>
      <x:c r="L88" s="55" t="str"/>
      <x:c r="M88" s="32" t="str">
        <x:v>Not Required</x:v>
      </x:c>
      <x:c r="N88" s="32" t="str">
        <x:v>COMMENT_EXECUTION</x:v>
      </x:c>
      <x:c r="O88" s="32" t="n">
        <x:v>88</x:v>
      </x:c>
      <x:c r="P88" s="32" t="str">
        <x:v>Comment ID, account slot, post confirmation</x:v>
      </x:c>
      <x:c r="Q88" s="33" t="str">
        <x:v>Synthetic relative path only</x:v>
      </x:c>
    </x:row>
    <x:row r="89">
      <x:c r="A89" s="31" t="str">
        <x:v>EVD-SYN-0085-POST</x:v>
      </x:c>
      <x:c r="B89" s="32" t="str">
        <x:v>EVG-COM-0085</x:v>
      </x:c>
      <x:c r="C89" s="52" t="n">
        <x:v>46227</x:v>
      </x:c>
      <x:c r="D89" s="32" t="str">
        <x:v>Comment</x:v>
      </x:c>
      <x:c r="E89" s="32" t="str">
        <x:v>IC-0085</x:v>
      </x:c>
      <x:c r="F89" s="32" t="str">
        <x:v>Post confirmation</x:v>
      </x:c>
      <x:c r="G89" s="32" t="str">
        <x:v>Post</x:v>
      </x:c>
      <x:c r="H89" s="32" t="str">
        <x:v>13:48</x:v>
      </x:c>
      <x:c r="I89" s="32" t="str">
        <x:v>interview_assets/evidence/EVD-SYN-0085-POST.png</x:v>
      </x:c>
      <x:c r="J89" s="32" t="str"/>
      <x:c r="K89" s="32" t="str"/>
      <x:c r="L89" s="55" t="str"/>
      <x:c r="M89" s="32" t="str">
        <x:v>Not Required</x:v>
      </x:c>
      <x:c r="N89" s="32" t="str">
        <x:v>COMMENT_EXECUTION</x:v>
      </x:c>
      <x:c r="O89" s="32" t="n">
        <x:v>89</x:v>
      </x:c>
      <x:c r="P89" s="32" t="str">
        <x:v>Comment ID, account slot, post confirmation</x:v>
      </x:c>
      <x:c r="Q89" s="33" t="str">
        <x:v>Synthetic relative path only</x:v>
      </x:c>
    </x:row>
    <x:row r="90">
      <x:c r="A90" s="31" t="str">
        <x:v>EVD-SYN-0086-POST</x:v>
      </x:c>
      <x:c r="B90" s="32" t="str">
        <x:v>EVG-COM-0086</x:v>
      </x:c>
      <x:c r="C90" s="52" t="n">
        <x:v>46227</x:v>
      </x:c>
      <x:c r="D90" s="32" t="str">
        <x:v>Comment</x:v>
      </x:c>
      <x:c r="E90" s="32" t="str">
        <x:v>IC-0086</x:v>
      </x:c>
      <x:c r="F90" s="32" t="str">
        <x:v>Post confirmation</x:v>
      </x:c>
      <x:c r="G90" s="32" t="str">
        <x:v>Post</x:v>
      </x:c>
      <x:c r="H90" s="32" t="str">
        <x:v>14:55</x:v>
      </x:c>
      <x:c r="I90" s="32" t="str">
        <x:v>interview_assets/evidence/EVD-SYN-0086-POST.png</x:v>
      </x:c>
      <x:c r="J90" s="32" t="str"/>
      <x:c r="K90" s="32" t="str"/>
      <x:c r="L90" s="55" t="str"/>
      <x:c r="M90" s="32" t="str">
        <x:v>Not Required</x:v>
      </x:c>
      <x:c r="N90" s="32" t="str">
        <x:v>COMMENT_EXECUTION</x:v>
      </x:c>
      <x:c r="O90" s="32" t="n">
        <x:v>90</x:v>
      </x:c>
      <x:c r="P90" s="32" t="str">
        <x:v>Comment ID, account slot, post confirmation</x:v>
      </x:c>
      <x:c r="Q90" s="33" t="str">
        <x:v>Synthetic relative path only</x:v>
      </x:c>
    </x:row>
    <x:row r="91">
      <x:c r="A91" s="31" t="str">
        <x:v>EVD-SYN-0087-POST</x:v>
      </x:c>
      <x:c r="B91" s="32" t="str">
        <x:v>EVG-COM-0087</x:v>
      </x:c>
      <x:c r="C91" s="52" t="n">
        <x:v>46227</x:v>
      </x:c>
      <x:c r="D91" s="32" t="str">
        <x:v>Comment</x:v>
      </x:c>
      <x:c r="E91" s="32" t="str">
        <x:v>IC-0087</x:v>
      </x:c>
      <x:c r="F91" s="32" t="str">
        <x:v>Post confirmation</x:v>
      </x:c>
      <x:c r="G91" s="32" t="str">
        <x:v>Post</x:v>
      </x:c>
      <x:c r="H91" s="32" t="str">
        <x:v>15:02</x:v>
      </x:c>
      <x:c r="I91" s="32" t="str">
        <x:v>interview_assets/evidence/EVD-SYN-0087-POST.png</x:v>
      </x:c>
      <x:c r="J91" s="32" t="str"/>
      <x:c r="K91" s="32" t="str"/>
      <x:c r="L91" s="55" t="str"/>
      <x:c r="M91" s="32" t="str">
        <x:v>Not Required</x:v>
      </x:c>
      <x:c r="N91" s="32" t="str">
        <x:v>COMMENT_EXECUTION</x:v>
      </x:c>
      <x:c r="O91" s="32" t="n">
        <x:v>91</x:v>
      </x:c>
      <x:c r="P91" s="32" t="str">
        <x:v>Comment ID, account slot, post confirmation</x:v>
      </x:c>
      <x:c r="Q91" s="33" t="str">
        <x:v>Synthetic relative path only</x:v>
      </x:c>
    </x:row>
    <x:row r="92">
      <x:c r="A92" s="31" t="str">
        <x:v>EVD-SYN-0088-POST</x:v>
      </x:c>
      <x:c r="B92" s="32" t="str">
        <x:v>EVG-COM-0088</x:v>
      </x:c>
      <x:c r="C92" s="52" t="n">
        <x:v>46227</x:v>
      </x:c>
      <x:c r="D92" s="32" t="str">
        <x:v>Comment</x:v>
      </x:c>
      <x:c r="E92" s="32" t="str">
        <x:v>IC-0088</x:v>
      </x:c>
      <x:c r="F92" s="32" t="str">
        <x:v>Post confirmation</x:v>
      </x:c>
      <x:c r="G92" s="32" t="str">
        <x:v>Post</x:v>
      </x:c>
      <x:c r="H92" s="32" t="str">
        <x:v>16:09</x:v>
      </x:c>
      <x:c r="I92" s="32" t="str">
        <x:v>interview_assets/evidence/EVD-SYN-0088-POST.png</x:v>
      </x:c>
      <x:c r="J92" s="32" t="str"/>
      <x:c r="K92" s="32" t="str"/>
      <x:c r="L92" s="55" t="str"/>
      <x:c r="M92" s="32" t="str">
        <x:v>Not Required</x:v>
      </x:c>
      <x:c r="N92" s="32" t="str">
        <x:v>COMMENT_EXECUTION</x:v>
      </x:c>
      <x:c r="O92" s="32" t="n">
        <x:v>92</x:v>
      </x:c>
      <x:c r="P92" s="32" t="str">
        <x:v>Comment ID, account slot, post confirmation</x:v>
      </x:c>
      <x:c r="Q92" s="33" t="str">
        <x:v>Synthetic relative path only</x:v>
      </x:c>
    </x:row>
    <x:row r="93">
      <x:c r="A93" s="31" t="str">
        <x:v>EVD-SYN-0089-POST</x:v>
      </x:c>
      <x:c r="B93" s="32" t="str">
        <x:v>EVG-COM-0089</x:v>
      </x:c>
      <x:c r="C93" s="52" t="n">
        <x:v>46227</x:v>
      </x:c>
      <x:c r="D93" s="32" t="str">
        <x:v>Comment</x:v>
      </x:c>
      <x:c r="E93" s="32" t="str">
        <x:v>IC-0089</x:v>
      </x:c>
      <x:c r="F93" s="32" t="str">
        <x:v>Post confirmation</x:v>
      </x:c>
      <x:c r="G93" s="32" t="str">
        <x:v>Post</x:v>
      </x:c>
      <x:c r="H93" s="32" t="str">
        <x:v>17:16</x:v>
      </x:c>
      <x:c r="I93" s="32" t="str">
        <x:v>interview_assets/evidence/EVD-SYN-0089-POST.png</x:v>
      </x:c>
      <x:c r="J93" s="32" t="str"/>
      <x:c r="K93" s="32" t="str"/>
      <x:c r="L93" s="55" t="str"/>
      <x:c r="M93" s="32" t="str">
        <x:v>Not Required</x:v>
      </x:c>
      <x:c r="N93" s="32" t="str">
        <x:v>COMMENT_EXECUTION</x:v>
      </x:c>
      <x:c r="O93" s="32" t="n">
        <x:v>93</x:v>
      </x:c>
      <x:c r="P93" s="32" t="str">
        <x:v>Comment ID, account slot, post confirmation</x:v>
      </x:c>
      <x:c r="Q93" s="33" t="str">
        <x:v>Synthetic relative path only</x:v>
      </x:c>
    </x:row>
    <x:row r="94">
      <x:c r="A94" s="31" t="str">
        <x:v>EVD-SYN-0090-POST</x:v>
      </x:c>
      <x:c r="B94" s="32" t="str">
        <x:v>EVG-COM-0090</x:v>
      </x:c>
      <x:c r="C94" s="52" t="n">
        <x:v>46227</x:v>
      </x:c>
      <x:c r="D94" s="32" t="str">
        <x:v>Comment</x:v>
      </x:c>
      <x:c r="E94" s="32" t="str">
        <x:v>IC-0090</x:v>
      </x:c>
      <x:c r="F94" s="32" t="str">
        <x:v>Post confirmation</x:v>
      </x:c>
      <x:c r="G94" s="32" t="str">
        <x:v>Post</x:v>
      </x:c>
      <x:c r="H94" s="32" t="str">
        <x:v>18:23</x:v>
      </x:c>
      <x:c r="I94" s="32" t="str">
        <x:v>interview_assets/evidence/EVD-SYN-0090-POST.png</x:v>
      </x:c>
      <x:c r="J94" s="32" t="str"/>
      <x:c r="K94" s="32" t="str"/>
      <x:c r="L94" s="55" t="str"/>
      <x:c r="M94" s="32" t="str">
        <x:v>Not Required</x:v>
      </x:c>
      <x:c r="N94" s="32" t="str">
        <x:v>COMMENT_EXECUTION</x:v>
      </x:c>
      <x:c r="O94" s="32" t="n">
        <x:v>94</x:v>
      </x:c>
      <x:c r="P94" s="32" t="str">
        <x:v>Comment ID, account slot, post confirmation</x:v>
      </x:c>
      <x:c r="Q94" s="33" t="str">
        <x:v>Synthetic relative path only</x:v>
      </x:c>
    </x:row>
    <x:row r="95">
      <x:c r="A95" s="31" t="str">
        <x:v>EVD-SYN-0091-POST</x:v>
      </x:c>
      <x:c r="B95" s="32" t="str">
        <x:v>EVG-COM-0091</x:v>
      </x:c>
      <x:c r="C95" s="52" t="n">
        <x:v>46227</x:v>
      </x:c>
      <x:c r="D95" s="32" t="str">
        <x:v>Comment</x:v>
      </x:c>
      <x:c r="E95" s="32" t="str">
        <x:v>IC-0091</x:v>
      </x:c>
      <x:c r="F95" s="32" t="str">
        <x:v>Post confirmation</x:v>
      </x:c>
      <x:c r="G95" s="32" t="str">
        <x:v>Post</x:v>
      </x:c>
      <x:c r="H95" s="32" t="str">
        <x:v>09:30</x:v>
      </x:c>
      <x:c r="I95" s="32" t="str">
        <x:v>interview_assets/evidence/EVD-SYN-0091-POST.png</x:v>
      </x:c>
      <x:c r="J95" s="32" t="str"/>
      <x:c r="K95" s="32" t="str"/>
      <x:c r="L95" s="55" t="str"/>
      <x:c r="M95" s="32" t="str">
        <x:v>Not Required</x:v>
      </x:c>
      <x:c r="N95" s="32" t="str">
        <x:v>COMMENT_EXECUTION</x:v>
      </x:c>
      <x:c r="O95" s="32" t="n">
        <x:v>95</x:v>
      </x:c>
      <x:c r="P95" s="32" t="str">
        <x:v>Comment ID, account slot, post confirmation</x:v>
      </x:c>
      <x:c r="Q95" s="33" t="str">
        <x:v>Synthetic relative path only</x:v>
      </x:c>
    </x:row>
    <x:row r="96">
      <x:c r="A96" s="31" t="str">
        <x:v>EVD-SYN-0092-POST</x:v>
      </x:c>
      <x:c r="B96" s="32" t="str">
        <x:v>EVG-COM-0092</x:v>
      </x:c>
      <x:c r="C96" s="52" t="n">
        <x:v>46227</x:v>
      </x:c>
      <x:c r="D96" s="32" t="str">
        <x:v>Comment</x:v>
      </x:c>
      <x:c r="E96" s="32" t="str">
        <x:v>IC-0092</x:v>
      </x:c>
      <x:c r="F96" s="32" t="str">
        <x:v>Post confirmation</x:v>
      </x:c>
      <x:c r="G96" s="32" t="str">
        <x:v>Post</x:v>
      </x:c>
      <x:c r="H96" s="32" t="str">
        <x:v>10:37</x:v>
      </x:c>
      <x:c r="I96" s="32" t="str">
        <x:v>interview_assets/evidence/EVD-SYN-0092-POST.png</x:v>
      </x:c>
      <x:c r="J96" s="32" t="str"/>
      <x:c r="K96" s="32" t="str"/>
      <x:c r="L96" s="55" t="str"/>
      <x:c r="M96" s="32" t="str">
        <x:v>Not Required</x:v>
      </x:c>
      <x:c r="N96" s="32" t="str">
        <x:v>COMMENT_EXECUTION</x:v>
      </x:c>
      <x:c r="O96" s="32" t="n">
        <x:v>96</x:v>
      </x:c>
      <x:c r="P96" s="32" t="str">
        <x:v>Comment ID, account slot, post confirmation</x:v>
      </x:c>
      <x:c r="Q96" s="33" t="str">
        <x:v>Synthetic relative path only</x:v>
      </x:c>
    </x:row>
    <x:row r="97">
      <x:c r="A97" s="31" t="str">
        <x:v>EVD-SYN-0093-POST</x:v>
      </x:c>
      <x:c r="B97" s="32" t="str">
        <x:v>EVG-COM-0093</x:v>
      </x:c>
      <x:c r="C97" s="52" t="n">
        <x:v>46227</x:v>
      </x:c>
      <x:c r="D97" s="32" t="str">
        <x:v>Comment</x:v>
      </x:c>
      <x:c r="E97" s="32" t="str">
        <x:v>IC-0093</x:v>
      </x:c>
      <x:c r="F97" s="32" t="str">
        <x:v>Post confirmation</x:v>
      </x:c>
      <x:c r="G97" s="32" t="str">
        <x:v>Post</x:v>
      </x:c>
      <x:c r="H97" s="32" t="str">
        <x:v>11:44</x:v>
      </x:c>
      <x:c r="I97" s="32" t="str">
        <x:v>interview_assets/evidence/EVD-SYN-0093-POST.png</x:v>
      </x:c>
      <x:c r="J97" s="32" t="str"/>
      <x:c r="K97" s="32" t="str"/>
      <x:c r="L97" s="55" t="str"/>
      <x:c r="M97" s="32" t="str">
        <x:v>Not Required</x:v>
      </x:c>
      <x:c r="N97" s="32" t="str">
        <x:v>COMMENT_EXECUTION</x:v>
      </x:c>
      <x:c r="O97" s="32" t="n">
        <x:v>97</x:v>
      </x:c>
      <x:c r="P97" s="32" t="str">
        <x:v>Comment ID, account slot, post confirmation</x:v>
      </x:c>
      <x:c r="Q97" s="33" t="str">
        <x:v>Synthetic relative path only</x:v>
      </x:c>
    </x:row>
    <x:row r="98">
      <x:c r="A98" s="31" t="str">
        <x:v>EVD-SYN-0094-POST</x:v>
      </x:c>
      <x:c r="B98" s="32" t="str">
        <x:v>EVG-COM-0094</x:v>
      </x:c>
      <x:c r="C98" s="52" t="n">
        <x:v>46227</x:v>
      </x:c>
      <x:c r="D98" s="32" t="str">
        <x:v>Comment</x:v>
      </x:c>
      <x:c r="E98" s="32" t="str">
        <x:v>IC-0094</x:v>
      </x:c>
      <x:c r="F98" s="32" t="str">
        <x:v>Post confirmation</x:v>
      </x:c>
      <x:c r="G98" s="32" t="str">
        <x:v>Post</x:v>
      </x:c>
      <x:c r="H98" s="32" t="str">
        <x:v>12:51</x:v>
      </x:c>
      <x:c r="I98" s="32" t="str">
        <x:v>interview_assets/evidence/EVD-SYN-0094-POST.png</x:v>
      </x:c>
      <x:c r="J98" s="32" t="str"/>
      <x:c r="K98" s="32" t="str"/>
      <x:c r="L98" s="55" t="str"/>
      <x:c r="M98" s="32" t="str">
        <x:v>Not Required</x:v>
      </x:c>
      <x:c r="N98" s="32" t="str">
        <x:v>COMMENT_EXECUTION</x:v>
      </x:c>
      <x:c r="O98" s="32" t="n">
        <x:v>98</x:v>
      </x:c>
      <x:c r="P98" s="32" t="str">
        <x:v>Comment ID, account slot, post confirmation</x:v>
      </x:c>
      <x:c r="Q98" s="33" t="str">
        <x:v>Synthetic relative path only</x:v>
      </x:c>
    </x:row>
    <x:row r="99">
      <x:c r="A99" s="31" t="str">
        <x:v>EVD-SYN-0095-POST</x:v>
      </x:c>
      <x:c r="B99" s="32" t="str">
        <x:v>EVG-COM-0095</x:v>
      </x:c>
      <x:c r="C99" s="52" t="n">
        <x:v>46227</x:v>
      </x:c>
      <x:c r="D99" s="32" t="str">
        <x:v>Comment</x:v>
      </x:c>
      <x:c r="E99" s="32" t="str">
        <x:v>IC-0095</x:v>
      </x:c>
      <x:c r="F99" s="32" t="str">
        <x:v>Post confirmation</x:v>
      </x:c>
      <x:c r="G99" s="32" t="str">
        <x:v>Post</x:v>
      </x:c>
      <x:c r="H99" s="32" t="str">
        <x:v>13:58</x:v>
      </x:c>
      <x:c r="I99" s="32" t="str">
        <x:v>interview_assets/evidence/EVD-SYN-0095-POST.png</x:v>
      </x:c>
      <x:c r="J99" s="32" t="str"/>
      <x:c r="K99" s="32" t="str"/>
      <x:c r="L99" s="55" t="str"/>
      <x:c r="M99" s="32" t="str">
        <x:v>Not Required</x:v>
      </x:c>
      <x:c r="N99" s="32" t="str">
        <x:v>COMMENT_EXECUTION</x:v>
      </x:c>
      <x:c r="O99" s="32" t="n">
        <x:v>99</x:v>
      </x:c>
      <x:c r="P99" s="32" t="str">
        <x:v>Comment ID, account slot, post confirmation</x:v>
      </x:c>
      <x:c r="Q99" s="33" t="str">
        <x:v>Synthetic relative path only</x:v>
      </x:c>
    </x:row>
    <x:row r="100">
      <x:c r="A100" s="31" t="str">
        <x:v>EVD-SYN-0096-POST</x:v>
      </x:c>
      <x:c r="B100" s="32" t="str">
        <x:v>EVG-COM-0096</x:v>
      </x:c>
      <x:c r="C100" s="52" t="n">
        <x:v>46227</x:v>
      </x:c>
      <x:c r="D100" s="32" t="str">
        <x:v>Comment</x:v>
      </x:c>
      <x:c r="E100" s="32" t="str">
        <x:v>IC-0096</x:v>
      </x:c>
      <x:c r="F100" s="32" t="str">
        <x:v>Post confirmation</x:v>
      </x:c>
      <x:c r="G100" s="32" t="str">
        <x:v>Post</x:v>
      </x:c>
      <x:c r="H100" s="32" t="str">
        <x:v>14:05</x:v>
      </x:c>
      <x:c r="I100" s="32" t="str">
        <x:v>interview_assets/evidence/EVD-SYN-0096-POST.png</x:v>
      </x:c>
      <x:c r="J100" s="32" t="str"/>
      <x:c r="K100" s="32" t="str"/>
      <x:c r="L100" s="55" t="str"/>
      <x:c r="M100" s="32" t="str">
        <x:v>Not Required</x:v>
      </x:c>
      <x:c r="N100" s="32" t="str">
        <x:v>COMMENT_EXECUTION</x:v>
      </x:c>
      <x:c r="O100" s="32" t="n">
        <x:v>100</x:v>
      </x:c>
      <x:c r="P100" s="32" t="str">
        <x:v>Comment ID, account slot, post confirmation</x:v>
      </x:c>
      <x:c r="Q100" s="33" t="str">
        <x:v>Synthetic relative path only</x:v>
      </x:c>
    </x:row>
    <x:row r="101">
      <x:c r="A101" s="31" t="str">
        <x:v>EVD-SYN-0097-POST</x:v>
      </x:c>
      <x:c r="B101" s="32" t="str">
        <x:v>EVG-COM-0097</x:v>
      </x:c>
      <x:c r="C101" s="52" t="n">
        <x:v>46227</x:v>
      </x:c>
      <x:c r="D101" s="32" t="str">
        <x:v>Comment</x:v>
      </x:c>
      <x:c r="E101" s="32" t="str">
        <x:v>IC-0097</x:v>
      </x:c>
      <x:c r="F101" s="32" t="str">
        <x:v>Post confirmation</x:v>
      </x:c>
      <x:c r="G101" s="32" t="str">
        <x:v>Post</x:v>
      </x:c>
      <x:c r="H101" s="32" t="str">
        <x:v>15:12</x:v>
      </x:c>
      <x:c r="I101" s="32" t="str">
        <x:v>interview_assets/evidence/EVD-SYN-0097-POST.png</x:v>
      </x:c>
      <x:c r="J101" s="32" t="str"/>
      <x:c r="K101" s="32" t="str"/>
      <x:c r="L101" s="55" t="str"/>
      <x:c r="M101" s="32" t="str">
        <x:v>Not Required</x:v>
      </x:c>
      <x:c r="N101" s="32" t="str">
        <x:v>COMMENT_EXECUTION</x:v>
      </x:c>
      <x:c r="O101" s="32" t="n">
        <x:v>101</x:v>
      </x:c>
      <x:c r="P101" s="32" t="str">
        <x:v>Comment ID, account slot, post confirmation</x:v>
      </x:c>
      <x:c r="Q101" s="33" t="str">
        <x:v>Synthetic relative path only</x:v>
      </x:c>
    </x:row>
    <x:row r="102">
      <x:c r="A102" s="31" t="str">
        <x:v>EVD-SYN-0098-POST</x:v>
      </x:c>
      <x:c r="B102" s="32" t="str">
        <x:v>EVG-COM-0098</x:v>
      </x:c>
      <x:c r="C102" s="52" t="n">
        <x:v>46227</x:v>
      </x:c>
      <x:c r="D102" s="32" t="str">
        <x:v>Comment</x:v>
      </x:c>
      <x:c r="E102" s="32" t="str">
        <x:v>IC-0098</x:v>
      </x:c>
      <x:c r="F102" s="32" t="str">
        <x:v>Post confirmation</x:v>
      </x:c>
      <x:c r="G102" s="32" t="str">
        <x:v>Post</x:v>
      </x:c>
      <x:c r="H102" s="32" t="str">
        <x:v>16:19</x:v>
      </x:c>
      <x:c r="I102" s="32" t="str">
        <x:v>interview_assets/evidence/EVD-SYN-0098-POST.png</x:v>
      </x:c>
      <x:c r="J102" s="32" t="str"/>
      <x:c r="K102" s="32" t="str"/>
      <x:c r="L102" s="55" t="str"/>
      <x:c r="M102" s="32" t="str">
        <x:v>Not Required</x:v>
      </x:c>
      <x:c r="N102" s="32" t="str">
        <x:v>COMMENT_EXECUTION</x:v>
      </x:c>
      <x:c r="O102" s="32" t="n">
        <x:v>102</x:v>
      </x:c>
      <x:c r="P102" s="32" t="str">
        <x:v>Comment ID, account slot, post confirmation</x:v>
      </x:c>
      <x:c r="Q102" s="33" t="str">
        <x:v>Synthetic relative path only</x:v>
      </x:c>
    </x:row>
    <x:row r="103">
      <x:c r="A103" s="31" t="str">
        <x:v>EVD-SYN-0099-POST</x:v>
      </x:c>
      <x:c r="B103" s="32" t="str">
        <x:v>EVG-COM-0099</x:v>
      </x:c>
      <x:c r="C103" s="52" t="n">
        <x:v>46227</x:v>
      </x:c>
      <x:c r="D103" s="32" t="str">
        <x:v>Comment</x:v>
      </x:c>
      <x:c r="E103" s="32" t="str">
        <x:v>IC-0099</x:v>
      </x:c>
      <x:c r="F103" s="32" t="str">
        <x:v>Post confirmation</x:v>
      </x:c>
      <x:c r="G103" s="32" t="str">
        <x:v>Post</x:v>
      </x:c>
      <x:c r="H103" s="32" t="str">
        <x:v>17:26</x:v>
      </x:c>
      <x:c r="I103" s="32" t="str">
        <x:v>interview_assets/evidence/EVD-SYN-0099-POST.png</x:v>
      </x:c>
      <x:c r="J103" s="32" t="str"/>
      <x:c r="K103" s="32" t="str"/>
      <x:c r="L103" s="55" t="str"/>
      <x:c r="M103" s="32" t="str">
        <x:v>Not Required</x:v>
      </x:c>
      <x:c r="N103" s="32" t="str">
        <x:v>COMMENT_EXECUTION</x:v>
      </x:c>
      <x:c r="O103" s="32" t="n">
        <x:v>103</x:v>
      </x:c>
      <x:c r="P103" s="32" t="str">
        <x:v>Comment ID, account slot, post confirmation</x:v>
      </x:c>
      <x:c r="Q103" s="33" t="str">
        <x:v>Synthetic relative path only</x:v>
      </x:c>
    </x:row>
    <x:row r="104">
      <x:c r="A104" s="31" t="str">
        <x:v>EVD-SYN-0100-POST</x:v>
      </x:c>
      <x:c r="B104" s="32" t="str">
        <x:v>EVG-COM-0100</x:v>
      </x:c>
      <x:c r="C104" s="52" t="n">
        <x:v>46227</x:v>
      </x:c>
      <x:c r="D104" s="32" t="str">
        <x:v>Comment</x:v>
      </x:c>
      <x:c r="E104" s="32" t="str">
        <x:v>IC-0100</x:v>
      </x:c>
      <x:c r="F104" s="32" t="str">
        <x:v>Post confirmation</x:v>
      </x:c>
      <x:c r="G104" s="32" t="str">
        <x:v>Post</x:v>
      </x:c>
      <x:c r="H104" s="32" t="str">
        <x:v>18:33</x:v>
      </x:c>
      <x:c r="I104" s="32" t="str">
        <x:v>interview_assets/evidence/EVD-SYN-0100-POST.png</x:v>
      </x:c>
      <x:c r="J104" s="32" t="str"/>
      <x:c r="K104" s="32" t="str"/>
      <x:c r="L104" s="55" t="str"/>
      <x:c r="M104" s="32" t="str">
        <x:v>Not Required</x:v>
      </x:c>
      <x:c r="N104" s="32" t="str">
        <x:v>COMMENT_EXECUTION</x:v>
      </x:c>
      <x:c r="O104" s="32" t="n">
        <x:v>104</x:v>
      </x:c>
      <x:c r="P104" s="32" t="str">
        <x:v>Comment ID, account slot, post confirmation</x:v>
      </x:c>
      <x:c r="Q104" s="33" t="str">
        <x:v>Synthetic relative path only</x:v>
      </x:c>
    </x:row>
    <x:row r="105">
      <x:c r="A105" s="31" t="str">
        <x:v>EVD-ACC-D1-S1</x:v>
      </x:c>
      <x:c r="B105" s="32" t="str">
        <x:v>EVG-ACC-1-1</x:v>
      </x:c>
      <x:c r="C105" s="52" t="n">
        <x:v>46224</x:v>
      </x:c>
      <x:c r="D105" s="32" t="str">
        <x:v>Daily Account</x:v>
      </x:c>
      <x:c r="E105" s="32" t="str">
        <x:v>Account Slot 1</x:v>
      </x:c>
      <x:c r="F105" s="32" t="str">
        <x:v>Profile snapshot</x:v>
      </x:c>
      <x:c r="G105" s="32" t="str">
        <x:v>EOD</x:v>
      </x:c>
      <x:c r="H105" s="32" t="str">
        <x:v>20:30</x:v>
      </x:c>
      <x:c r="I105" s="32" t="str">
        <x:v>interview_assets/evidence/account_d1_s1.png</x:v>
      </x:c>
      <x:c r="J105" s="32" t="str"/>
      <x:c r="K105" s="32" t="str"/>
      <x:c r="L105" s="55" t="str"/>
      <x:c r="M105" s="32" t="str">
        <x:v>Not Required</x:v>
      </x:c>
      <x:c r="N105" s="32" t="str">
        <x:v>DAILY_ACCOUNT</x:v>
      </x:c>
      <x:c r="O105" s="32" t="n">
        <x:v>5</x:v>
      </x:c>
      <x:c r="P105" s="32" t="str">
        <x:v>Account slot and daily metrics</x:v>
      </x:c>
      <x:c r="Q105" s="33" t="str">
        <x:v>Synthetic relative path only</x:v>
      </x:c>
    </x:row>
    <x:row r="106">
      <x:c r="A106" s="31" t="str">
        <x:v>EVD-ACC-D1-S2</x:v>
      </x:c>
      <x:c r="B106" s="32" t="str">
        <x:v>EVG-ACC-1-2</x:v>
      </x:c>
      <x:c r="C106" s="52" t="n">
        <x:v>46224</x:v>
      </x:c>
      <x:c r="D106" s="32" t="str">
        <x:v>Daily Account</x:v>
      </x:c>
      <x:c r="E106" s="32" t="str">
        <x:v>Account Slot 2</x:v>
      </x:c>
      <x:c r="F106" s="32" t="str">
        <x:v>Profile snapshot</x:v>
      </x:c>
      <x:c r="G106" s="32" t="str">
        <x:v>EOD</x:v>
      </x:c>
      <x:c r="H106" s="32" t="str">
        <x:v>20:30</x:v>
      </x:c>
      <x:c r="I106" s="32" t="str">
        <x:v>interview_assets/evidence/account_d1_s2.png</x:v>
      </x:c>
      <x:c r="J106" s="32" t="str"/>
      <x:c r="K106" s="32" t="str"/>
      <x:c r="L106" s="55" t="str"/>
      <x:c r="M106" s="32" t="str">
        <x:v>Not Required</x:v>
      </x:c>
      <x:c r="N106" s="32" t="str">
        <x:v>DAILY_ACCOUNT</x:v>
      </x:c>
      <x:c r="O106" s="32" t="n">
        <x:v>6</x:v>
      </x:c>
      <x:c r="P106" s="32" t="str">
        <x:v>Account slot and daily metrics</x:v>
      </x:c>
      <x:c r="Q106" s="33" t="str">
        <x:v>Synthetic relative path only</x:v>
      </x:c>
    </x:row>
    <x:row r="107">
      <x:c r="A107" s="31" t="str">
        <x:v>EVD-ACC-D1-S3</x:v>
      </x:c>
      <x:c r="B107" s="32" t="str">
        <x:v>EVG-ACC-1-3</x:v>
      </x:c>
      <x:c r="C107" s="52" t="n">
        <x:v>46224</x:v>
      </x:c>
      <x:c r="D107" s="32" t="str">
        <x:v>Daily Account</x:v>
      </x:c>
      <x:c r="E107" s="32" t="str">
        <x:v>Account Slot 3</x:v>
      </x:c>
      <x:c r="F107" s="32" t="str">
        <x:v>Profile snapshot</x:v>
      </x:c>
      <x:c r="G107" s="32" t="str">
        <x:v>EOD</x:v>
      </x:c>
      <x:c r="H107" s="32" t="str">
        <x:v>20:30</x:v>
      </x:c>
      <x:c r="I107" s="32" t="str">
        <x:v>interview_assets/evidence/account_d1_s3.png</x:v>
      </x:c>
      <x:c r="J107" s="32" t="str"/>
      <x:c r="K107" s="32" t="str"/>
      <x:c r="L107" s="55" t="str"/>
      <x:c r="M107" s="32" t="str">
        <x:v>Not Required</x:v>
      </x:c>
      <x:c r="N107" s="32" t="str">
        <x:v>DAILY_ACCOUNT</x:v>
      </x:c>
      <x:c r="O107" s="32" t="n">
        <x:v>7</x:v>
      </x:c>
      <x:c r="P107" s="32" t="str">
        <x:v>Account slot and daily metrics</x:v>
      </x:c>
      <x:c r="Q107" s="33" t="str">
        <x:v>Synthetic relative path only</x:v>
      </x:c>
    </x:row>
    <x:row r="108">
      <x:c r="A108" s="31" t="str">
        <x:v>EVD-ACC-D1-S4</x:v>
      </x:c>
      <x:c r="B108" s="32" t="str">
        <x:v>EVG-ACC-1-4</x:v>
      </x:c>
      <x:c r="C108" s="52" t="n">
        <x:v>46224</x:v>
      </x:c>
      <x:c r="D108" s="32" t="str">
        <x:v>Daily Account</x:v>
      </x:c>
      <x:c r="E108" s="32" t="str">
        <x:v>Account Slot 4</x:v>
      </x:c>
      <x:c r="F108" s="32" t="str">
        <x:v>Profile snapshot</x:v>
      </x:c>
      <x:c r="G108" s="32" t="str">
        <x:v>EOD</x:v>
      </x:c>
      <x:c r="H108" s="32" t="str">
        <x:v>20:30</x:v>
      </x:c>
      <x:c r="I108" s="32" t="str">
        <x:v>interview_assets/evidence/account_d1_s4.png</x:v>
      </x:c>
      <x:c r="J108" s="32" t="str"/>
      <x:c r="K108" s="32" t="str"/>
      <x:c r="L108" s="55" t="str"/>
      <x:c r="M108" s="32" t="str">
        <x:v>Not Required</x:v>
      </x:c>
      <x:c r="N108" s="32" t="str">
        <x:v>DAILY_ACCOUNT</x:v>
      </x:c>
      <x:c r="O108" s="32" t="n">
        <x:v>8</x:v>
      </x:c>
      <x:c r="P108" s="32" t="str">
        <x:v>Account slot and daily metrics</x:v>
      </x:c>
      <x:c r="Q108" s="33" t="str">
        <x:v>Synthetic relative path only</x:v>
      </x:c>
    </x:row>
    <x:row r="109">
      <x:c r="A109" s="31" t="str">
        <x:v>EVD-ACC-D1-S5</x:v>
      </x:c>
      <x:c r="B109" s="32" t="str">
        <x:v>EVG-ACC-1-5</x:v>
      </x:c>
      <x:c r="C109" s="52" t="n">
        <x:v>46224</x:v>
      </x:c>
      <x:c r="D109" s="32" t="str">
        <x:v>Daily Account</x:v>
      </x:c>
      <x:c r="E109" s="32" t="str">
        <x:v>Account Slot 5</x:v>
      </x:c>
      <x:c r="F109" s="32" t="str">
        <x:v>Profile snapshot</x:v>
      </x:c>
      <x:c r="G109" s="32" t="str">
        <x:v>EOD</x:v>
      </x:c>
      <x:c r="H109" s="32" t="str">
        <x:v>20:30</x:v>
      </x:c>
      <x:c r="I109" s="32" t="str">
        <x:v>interview_assets/evidence/account_d1_s5.png</x:v>
      </x:c>
      <x:c r="J109" s="32" t="str"/>
      <x:c r="K109" s="32" t="str"/>
      <x:c r="L109" s="55" t="str"/>
      <x:c r="M109" s="32" t="str">
        <x:v>Not Required</x:v>
      </x:c>
      <x:c r="N109" s="32" t="str">
        <x:v>DAILY_ACCOUNT</x:v>
      </x:c>
      <x:c r="O109" s="32" t="n">
        <x:v>9</x:v>
      </x:c>
      <x:c r="P109" s="32" t="str">
        <x:v>Account slot and daily metrics</x:v>
      </x:c>
      <x:c r="Q109" s="33" t="str">
        <x:v>Synthetic relative path only</x:v>
      </x:c>
    </x:row>
    <x:row r="110">
      <x:c r="A110" s="31" t="str">
        <x:v>EVD-ACC-D1-S6</x:v>
      </x:c>
      <x:c r="B110" s="32" t="str">
        <x:v>EVG-ACC-1-6</x:v>
      </x:c>
      <x:c r="C110" s="52" t="n">
        <x:v>46224</x:v>
      </x:c>
      <x:c r="D110" s="32" t="str">
        <x:v>Daily Account</x:v>
      </x:c>
      <x:c r="E110" s="32" t="str">
        <x:v>Account Slot 6</x:v>
      </x:c>
      <x:c r="F110" s="32" t="str">
        <x:v>Profile snapshot</x:v>
      </x:c>
      <x:c r="G110" s="32" t="str">
        <x:v>EOD</x:v>
      </x:c>
      <x:c r="H110" s="32" t="str">
        <x:v>20:30</x:v>
      </x:c>
      <x:c r="I110" s="32" t="str">
        <x:v>interview_assets/evidence/account_d1_s6.png</x:v>
      </x:c>
      <x:c r="J110" s="32" t="str"/>
      <x:c r="K110" s="32" t="str"/>
      <x:c r="L110" s="55" t="str"/>
      <x:c r="M110" s="32" t="str">
        <x:v>Not Required</x:v>
      </x:c>
      <x:c r="N110" s="32" t="str">
        <x:v>DAILY_ACCOUNT</x:v>
      </x:c>
      <x:c r="O110" s="32" t="n">
        <x:v>10</x:v>
      </x:c>
      <x:c r="P110" s="32" t="str">
        <x:v>Account slot and daily metrics</x:v>
      </x:c>
      <x:c r="Q110" s="33" t="str">
        <x:v>Synthetic relative path only</x:v>
      </x:c>
    </x:row>
    <x:row r="111">
      <x:c r="A111" s="31" t="str">
        <x:v>EVD-ACC-D1-S7</x:v>
      </x:c>
      <x:c r="B111" s="32" t="str">
        <x:v>EVG-ACC-1-7</x:v>
      </x:c>
      <x:c r="C111" s="52" t="n">
        <x:v>46224</x:v>
      </x:c>
      <x:c r="D111" s="32" t="str">
        <x:v>Daily Account</x:v>
      </x:c>
      <x:c r="E111" s="32" t="str">
        <x:v>Account Slot 7</x:v>
      </x:c>
      <x:c r="F111" s="32" t="str">
        <x:v>Profile snapshot</x:v>
      </x:c>
      <x:c r="G111" s="32" t="str">
        <x:v>EOD</x:v>
      </x:c>
      <x:c r="H111" s="32" t="str">
        <x:v>20:30</x:v>
      </x:c>
      <x:c r="I111" s="32" t="str">
        <x:v>interview_assets/evidence/account_d1_s7.png</x:v>
      </x:c>
      <x:c r="J111" s="32" t="str"/>
      <x:c r="K111" s="32" t="str"/>
      <x:c r="L111" s="55" t="str"/>
      <x:c r="M111" s="32" t="str">
        <x:v>Not Required</x:v>
      </x:c>
      <x:c r="N111" s="32" t="str">
        <x:v>DAILY_ACCOUNT</x:v>
      </x:c>
      <x:c r="O111" s="32" t="n">
        <x:v>11</x:v>
      </x:c>
      <x:c r="P111" s="32" t="str">
        <x:v>Account slot and daily metrics</x:v>
      </x:c>
      <x:c r="Q111" s="33" t="str">
        <x:v>Synthetic relative path only</x:v>
      </x:c>
    </x:row>
    <x:row r="112">
      <x:c r="A112" s="31" t="str">
        <x:v>EVD-ACC-D1-S8</x:v>
      </x:c>
      <x:c r="B112" s="32" t="str">
        <x:v>EVG-ACC-1-8</x:v>
      </x:c>
      <x:c r="C112" s="52" t="n">
        <x:v>46224</x:v>
      </x:c>
      <x:c r="D112" s="32" t="str">
        <x:v>Daily Account</x:v>
      </x:c>
      <x:c r="E112" s="32" t="str">
        <x:v>Account Slot 8</x:v>
      </x:c>
      <x:c r="F112" s="32" t="str">
        <x:v>Profile snapshot</x:v>
      </x:c>
      <x:c r="G112" s="32" t="str">
        <x:v>EOD</x:v>
      </x:c>
      <x:c r="H112" s="32" t="str">
        <x:v>20:30</x:v>
      </x:c>
      <x:c r="I112" s="32" t="str">
        <x:v>interview_assets/evidence/account_d1_s8.png</x:v>
      </x:c>
      <x:c r="J112" s="32" t="str"/>
      <x:c r="K112" s="32" t="str"/>
      <x:c r="L112" s="55" t="str"/>
      <x:c r="M112" s="32" t="str">
        <x:v>Not Required</x:v>
      </x:c>
      <x:c r="N112" s="32" t="str">
        <x:v>DAILY_ACCOUNT</x:v>
      </x:c>
      <x:c r="O112" s="32" t="n">
        <x:v>12</x:v>
      </x:c>
      <x:c r="P112" s="32" t="str">
        <x:v>Account slot and daily metrics</x:v>
      </x:c>
      <x:c r="Q112" s="33" t="str">
        <x:v>Synthetic relative path only</x:v>
      </x:c>
    </x:row>
    <x:row r="113">
      <x:c r="A113" s="31" t="str">
        <x:v>EVD-ACC-D1-S9</x:v>
      </x:c>
      <x:c r="B113" s="32" t="str">
        <x:v>EVG-ACC-1-9</x:v>
      </x:c>
      <x:c r="C113" s="52" t="n">
        <x:v>46224</x:v>
      </x:c>
      <x:c r="D113" s="32" t="str">
        <x:v>Daily Account</x:v>
      </x:c>
      <x:c r="E113" s="32" t="str">
        <x:v>Account Slot 9</x:v>
      </x:c>
      <x:c r="F113" s="32" t="str">
        <x:v>Profile snapshot</x:v>
      </x:c>
      <x:c r="G113" s="32" t="str">
        <x:v>EOD</x:v>
      </x:c>
      <x:c r="H113" s="32" t="str">
        <x:v>20:30</x:v>
      </x:c>
      <x:c r="I113" s="32" t="str">
        <x:v>interview_assets/evidence/account_d1_s9.png</x:v>
      </x:c>
      <x:c r="J113" s="32" t="str"/>
      <x:c r="K113" s="32" t="str"/>
      <x:c r="L113" s="55" t="str"/>
      <x:c r="M113" s="32" t="str">
        <x:v>Not Required</x:v>
      </x:c>
      <x:c r="N113" s="32" t="str">
        <x:v>DAILY_ACCOUNT</x:v>
      </x:c>
      <x:c r="O113" s="32" t="n">
        <x:v>13</x:v>
      </x:c>
      <x:c r="P113" s="32" t="str">
        <x:v>Account slot and daily metrics</x:v>
      </x:c>
      <x:c r="Q113" s="33" t="str">
        <x:v>Synthetic relative path only</x:v>
      </x:c>
    </x:row>
    <x:row r="114">
      <x:c r="A114" s="31" t="str">
        <x:v>EVD-ACC-D1-S10</x:v>
      </x:c>
      <x:c r="B114" s="32" t="str">
        <x:v>EVG-ACC-1-10</x:v>
      </x:c>
      <x:c r="C114" s="52" t="n">
        <x:v>46224</x:v>
      </x:c>
      <x:c r="D114" s="32" t="str">
        <x:v>Daily Account</x:v>
      </x:c>
      <x:c r="E114" s="32" t="str">
        <x:v>Account Slot 10</x:v>
      </x:c>
      <x:c r="F114" s="32" t="str">
        <x:v>Profile snapshot</x:v>
      </x:c>
      <x:c r="G114" s="32" t="str">
        <x:v>EOD</x:v>
      </x:c>
      <x:c r="H114" s="32" t="str">
        <x:v>20:30</x:v>
      </x:c>
      <x:c r="I114" s="32" t="str">
        <x:v>interview_assets/evidence/account_d1_s10.png</x:v>
      </x:c>
      <x:c r="J114" s="32" t="str"/>
      <x:c r="K114" s="32" t="str"/>
      <x:c r="L114" s="55" t="str"/>
      <x:c r="M114" s="32" t="str">
        <x:v>Not Required</x:v>
      </x:c>
      <x:c r="N114" s="32" t="str">
        <x:v>DAILY_ACCOUNT</x:v>
      </x:c>
      <x:c r="O114" s="32" t="n">
        <x:v>14</x:v>
      </x:c>
      <x:c r="P114" s="32" t="str">
        <x:v>Account slot and daily metrics</x:v>
      </x:c>
      <x:c r="Q114" s="33" t="str">
        <x:v>Synthetic relative path only</x:v>
      </x:c>
    </x:row>
    <x:row r="115">
      <x:c r="A115" s="31" t="str">
        <x:v>EVD-ACC-D2-S1</x:v>
      </x:c>
      <x:c r="B115" s="32" t="str">
        <x:v>EVG-ACC-2-1</x:v>
      </x:c>
      <x:c r="C115" s="52" t="n">
        <x:v>46225</x:v>
      </x:c>
      <x:c r="D115" s="32" t="str">
        <x:v>Daily Account</x:v>
      </x:c>
      <x:c r="E115" s="32" t="str">
        <x:v>Account Slot 1</x:v>
      </x:c>
      <x:c r="F115" s="32" t="str">
        <x:v>Profile snapshot</x:v>
      </x:c>
      <x:c r="G115" s="32" t="str">
        <x:v>EOD</x:v>
      </x:c>
      <x:c r="H115" s="32" t="str">
        <x:v>20:30</x:v>
      </x:c>
      <x:c r="I115" s="32" t="str">
        <x:v>interview_assets/evidence/account_d2_s1.png</x:v>
      </x:c>
      <x:c r="J115" s="32" t="str"/>
      <x:c r="K115" s="32" t="str"/>
      <x:c r="L115" s="55" t="str"/>
      <x:c r="M115" s="32" t="str">
        <x:v>Not Required</x:v>
      </x:c>
      <x:c r="N115" s="32" t="str">
        <x:v>DAILY_ACCOUNT</x:v>
      </x:c>
      <x:c r="O115" s="32" t="n">
        <x:v>15</x:v>
      </x:c>
      <x:c r="P115" s="32" t="str">
        <x:v>Account slot and daily metrics</x:v>
      </x:c>
      <x:c r="Q115" s="33" t="str">
        <x:v>Synthetic relative path only</x:v>
      </x:c>
    </x:row>
    <x:row r="116">
      <x:c r="A116" s="31" t="str">
        <x:v>EVD-ACC-D2-S2</x:v>
      </x:c>
      <x:c r="B116" s="32" t="str">
        <x:v>EVG-ACC-2-2</x:v>
      </x:c>
      <x:c r="C116" s="52" t="n">
        <x:v>46225</x:v>
      </x:c>
      <x:c r="D116" s="32" t="str">
        <x:v>Daily Account</x:v>
      </x:c>
      <x:c r="E116" s="32" t="str">
        <x:v>Account Slot 2</x:v>
      </x:c>
      <x:c r="F116" s="32" t="str">
        <x:v>Profile snapshot</x:v>
      </x:c>
      <x:c r="G116" s="32" t="str">
        <x:v>EOD</x:v>
      </x:c>
      <x:c r="H116" s="32" t="str">
        <x:v>20:30</x:v>
      </x:c>
      <x:c r="I116" s="32" t="str">
        <x:v>interview_assets/evidence/account_d2_s2.png</x:v>
      </x:c>
      <x:c r="J116" s="32" t="str"/>
      <x:c r="K116" s="32" t="str"/>
      <x:c r="L116" s="55" t="str"/>
      <x:c r="M116" s="32" t="str">
        <x:v>Not Required</x:v>
      </x:c>
      <x:c r="N116" s="32" t="str">
        <x:v>DAILY_ACCOUNT</x:v>
      </x:c>
      <x:c r="O116" s="32" t="n">
        <x:v>16</x:v>
      </x:c>
      <x:c r="P116" s="32" t="str">
        <x:v>Account slot and daily metrics</x:v>
      </x:c>
      <x:c r="Q116" s="33" t="str">
        <x:v>Synthetic relative path only</x:v>
      </x:c>
    </x:row>
    <x:row r="117">
      <x:c r="A117" s="31" t="str">
        <x:v>EVD-ACC-D2-S3</x:v>
      </x:c>
      <x:c r="B117" s="32" t="str">
        <x:v>EVG-ACC-2-3</x:v>
      </x:c>
      <x:c r="C117" s="52" t="n">
        <x:v>46225</x:v>
      </x:c>
      <x:c r="D117" s="32" t="str">
        <x:v>Daily Account</x:v>
      </x:c>
      <x:c r="E117" s="32" t="str">
        <x:v>Account Slot 3</x:v>
      </x:c>
      <x:c r="F117" s="32" t="str">
        <x:v>Profile snapshot</x:v>
      </x:c>
      <x:c r="G117" s="32" t="str">
        <x:v>EOD</x:v>
      </x:c>
      <x:c r="H117" s="32" t="str">
        <x:v>20:30</x:v>
      </x:c>
      <x:c r="I117" s="32" t="str">
        <x:v>interview_assets/evidence/account_d2_s3.png</x:v>
      </x:c>
      <x:c r="J117" s="32" t="str"/>
      <x:c r="K117" s="32" t="str"/>
      <x:c r="L117" s="55" t="str"/>
      <x:c r="M117" s="32" t="str">
        <x:v>Not Required</x:v>
      </x:c>
      <x:c r="N117" s="32" t="str">
        <x:v>DAILY_ACCOUNT</x:v>
      </x:c>
      <x:c r="O117" s="32" t="n">
        <x:v>17</x:v>
      </x:c>
      <x:c r="P117" s="32" t="str">
        <x:v>Account slot and daily metrics</x:v>
      </x:c>
      <x:c r="Q117" s="33" t="str">
        <x:v>Synthetic relative path only</x:v>
      </x:c>
    </x:row>
    <x:row r="118">
      <x:c r="A118" s="31" t="str">
        <x:v>EVD-ACC-D2-S4</x:v>
      </x:c>
      <x:c r="B118" s="32" t="str">
        <x:v>EVG-ACC-2-4</x:v>
      </x:c>
      <x:c r="C118" s="52" t="n">
        <x:v>46225</x:v>
      </x:c>
      <x:c r="D118" s="32" t="str">
        <x:v>Daily Account</x:v>
      </x:c>
      <x:c r="E118" s="32" t="str">
        <x:v>Account Slot 4</x:v>
      </x:c>
      <x:c r="F118" s="32" t="str">
        <x:v>Profile snapshot</x:v>
      </x:c>
      <x:c r="G118" s="32" t="str">
        <x:v>EOD</x:v>
      </x:c>
      <x:c r="H118" s="32" t="str">
        <x:v>20:30</x:v>
      </x:c>
      <x:c r="I118" s="32" t="str">
        <x:v>interview_assets/evidence/account_d2_s4.png</x:v>
      </x:c>
      <x:c r="J118" s="32" t="str"/>
      <x:c r="K118" s="32" t="str"/>
      <x:c r="L118" s="55" t="str"/>
      <x:c r="M118" s="32" t="str">
        <x:v>Not Required</x:v>
      </x:c>
      <x:c r="N118" s="32" t="str">
        <x:v>DAILY_ACCOUNT</x:v>
      </x:c>
      <x:c r="O118" s="32" t="n">
        <x:v>18</x:v>
      </x:c>
      <x:c r="P118" s="32" t="str">
        <x:v>Account slot and daily metrics</x:v>
      </x:c>
      <x:c r="Q118" s="33" t="str">
        <x:v>Synthetic relative path only</x:v>
      </x:c>
    </x:row>
    <x:row r="119">
      <x:c r="A119" s="31" t="str">
        <x:v>EVD-ACC-D2-S5</x:v>
      </x:c>
      <x:c r="B119" s="32" t="str">
        <x:v>EVG-ACC-2-5</x:v>
      </x:c>
      <x:c r="C119" s="52" t="n">
        <x:v>46225</x:v>
      </x:c>
      <x:c r="D119" s="32" t="str">
        <x:v>Daily Account</x:v>
      </x:c>
      <x:c r="E119" s="32" t="str">
        <x:v>Account Slot 5</x:v>
      </x:c>
      <x:c r="F119" s="32" t="str">
        <x:v>Profile snapshot</x:v>
      </x:c>
      <x:c r="G119" s="32" t="str">
        <x:v>EOD</x:v>
      </x:c>
      <x:c r="H119" s="32" t="str">
        <x:v>20:30</x:v>
      </x:c>
      <x:c r="I119" s="32" t="str">
        <x:v>interview_assets/evidence/account_d2_s5.png</x:v>
      </x:c>
      <x:c r="J119" s="32" t="str"/>
      <x:c r="K119" s="32" t="str"/>
      <x:c r="L119" s="55" t="str"/>
      <x:c r="M119" s="32" t="str">
        <x:v>Not Required</x:v>
      </x:c>
      <x:c r="N119" s="32" t="str">
        <x:v>DAILY_ACCOUNT</x:v>
      </x:c>
      <x:c r="O119" s="32" t="n">
        <x:v>19</x:v>
      </x:c>
      <x:c r="P119" s="32" t="str">
        <x:v>Account slot and daily metrics</x:v>
      </x:c>
      <x:c r="Q119" s="33" t="str">
        <x:v>Synthetic relative path only</x:v>
      </x:c>
    </x:row>
    <x:row r="120">
      <x:c r="A120" s="31" t="str">
        <x:v>EVD-ACC-D2-S6</x:v>
      </x:c>
      <x:c r="B120" s="32" t="str">
        <x:v>EVG-ACC-2-6</x:v>
      </x:c>
      <x:c r="C120" s="52" t="n">
        <x:v>46225</x:v>
      </x:c>
      <x:c r="D120" s="32" t="str">
        <x:v>Daily Account</x:v>
      </x:c>
      <x:c r="E120" s="32" t="str">
        <x:v>Account Slot 6</x:v>
      </x:c>
      <x:c r="F120" s="32" t="str">
        <x:v>Profile snapshot</x:v>
      </x:c>
      <x:c r="G120" s="32" t="str">
        <x:v>EOD</x:v>
      </x:c>
      <x:c r="H120" s="32" t="str">
        <x:v>20:30</x:v>
      </x:c>
      <x:c r="I120" s="32" t="str">
        <x:v>interview_assets/evidence/account_d2_s6.png</x:v>
      </x:c>
      <x:c r="J120" s="32" t="str"/>
      <x:c r="K120" s="32" t="str"/>
      <x:c r="L120" s="55" t="str"/>
      <x:c r="M120" s="32" t="str">
        <x:v>Not Required</x:v>
      </x:c>
      <x:c r="N120" s="32" t="str">
        <x:v>DAILY_ACCOUNT</x:v>
      </x:c>
      <x:c r="O120" s="32" t="n">
        <x:v>20</x:v>
      </x:c>
      <x:c r="P120" s="32" t="str">
        <x:v>Account slot and daily metrics</x:v>
      </x:c>
      <x:c r="Q120" s="33" t="str">
        <x:v>Synthetic relative path only</x:v>
      </x:c>
    </x:row>
    <x:row r="121">
      <x:c r="A121" s="31" t="str">
        <x:v>EVD-ACC-D2-S7</x:v>
      </x:c>
      <x:c r="B121" s="32" t="str">
        <x:v>EVG-ACC-2-7</x:v>
      </x:c>
      <x:c r="C121" s="52" t="n">
        <x:v>46225</x:v>
      </x:c>
      <x:c r="D121" s="32" t="str">
        <x:v>Daily Account</x:v>
      </x:c>
      <x:c r="E121" s="32" t="str">
        <x:v>Account Slot 7</x:v>
      </x:c>
      <x:c r="F121" s="32" t="str">
        <x:v>Profile snapshot</x:v>
      </x:c>
      <x:c r="G121" s="32" t="str">
        <x:v>EOD</x:v>
      </x:c>
      <x:c r="H121" s="32" t="str">
        <x:v>20:30</x:v>
      </x:c>
      <x:c r="I121" s="32" t="str">
        <x:v>interview_assets/evidence/account_d2_s7.png</x:v>
      </x:c>
      <x:c r="J121" s="32" t="str"/>
      <x:c r="K121" s="32" t="str"/>
      <x:c r="L121" s="55" t="str"/>
      <x:c r="M121" s="32" t="str">
        <x:v>Not Required</x:v>
      </x:c>
      <x:c r="N121" s="32" t="str">
        <x:v>DAILY_ACCOUNT</x:v>
      </x:c>
      <x:c r="O121" s="32" t="n">
        <x:v>21</x:v>
      </x:c>
      <x:c r="P121" s="32" t="str">
        <x:v>Account slot and daily metrics</x:v>
      </x:c>
      <x:c r="Q121" s="33" t="str">
        <x:v>Synthetic relative path only</x:v>
      </x:c>
    </x:row>
    <x:row r="122">
      <x:c r="A122" s="31" t="str">
        <x:v>EVD-ACC-D2-S8</x:v>
      </x:c>
      <x:c r="B122" s="32" t="str">
        <x:v>EVG-ACC-2-8</x:v>
      </x:c>
      <x:c r="C122" s="52" t="n">
        <x:v>46225</x:v>
      </x:c>
      <x:c r="D122" s="32" t="str">
        <x:v>Daily Account</x:v>
      </x:c>
      <x:c r="E122" s="32" t="str">
        <x:v>Account Slot 8</x:v>
      </x:c>
      <x:c r="F122" s="32" t="str">
        <x:v>Profile snapshot</x:v>
      </x:c>
      <x:c r="G122" s="32" t="str">
        <x:v>EOD</x:v>
      </x:c>
      <x:c r="H122" s="32" t="str">
        <x:v>20:30</x:v>
      </x:c>
      <x:c r="I122" s="32" t="str">
        <x:v>interview_assets/evidence/account_d2_s8.png</x:v>
      </x:c>
      <x:c r="J122" s="32" t="str"/>
      <x:c r="K122" s="32" t="str"/>
      <x:c r="L122" s="55" t="str"/>
      <x:c r="M122" s="32" t="str">
        <x:v>Not Required</x:v>
      </x:c>
      <x:c r="N122" s="32" t="str">
        <x:v>DAILY_ACCOUNT</x:v>
      </x:c>
      <x:c r="O122" s="32" t="n">
        <x:v>22</x:v>
      </x:c>
      <x:c r="P122" s="32" t="str">
        <x:v>Account slot and daily metrics</x:v>
      </x:c>
      <x:c r="Q122" s="33" t="str">
        <x:v>Synthetic relative path only</x:v>
      </x:c>
    </x:row>
    <x:row r="123">
      <x:c r="A123" s="31" t="str">
        <x:v>EVD-ACC-D2-S9</x:v>
      </x:c>
      <x:c r="B123" s="32" t="str">
        <x:v>EVG-ACC-2-9</x:v>
      </x:c>
      <x:c r="C123" s="52" t="n">
        <x:v>46225</x:v>
      </x:c>
      <x:c r="D123" s="32" t="str">
        <x:v>Daily Account</x:v>
      </x:c>
      <x:c r="E123" s="32" t="str">
        <x:v>Account Slot 9</x:v>
      </x:c>
      <x:c r="F123" s="32" t="str">
        <x:v>Profile snapshot</x:v>
      </x:c>
      <x:c r="G123" s="32" t="str">
        <x:v>EOD</x:v>
      </x:c>
      <x:c r="H123" s="32" t="str">
        <x:v>20:30</x:v>
      </x:c>
      <x:c r="I123" s="32" t="str">
        <x:v>interview_assets/evidence/account_d2_s9.png</x:v>
      </x:c>
      <x:c r="J123" s="32" t="str"/>
      <x:c r="K123" s="32" t="str"/>
      <x:c r="L123" s="55" t="str"/>
      <x:c r="M123" s="32" t="str">
        <x:v>Not Required</x:v>
      </x:c>
      <x:c r="N123" s="32" t="str">
        <x:v>DAILY_ACCOUNT</x:v>
      </x:c>
      <x:c r="O123" s="32" t="n">
        <x:v>23</x:v>
      </x:c>
      <x:c r="P123" s="32" t="str">
        <x:v>Account slot and daily metrics</x:v>
      </x:c>
      <x:c r="Q123" s="33" t="str">
        <x:v>Synthetic relative path only</x:v>
      </x:c>
    </x:row>
    <x:row r="124">
      <x:c r="A124" s="31" t="str">
        <x:v>EVD-ACC-D2-S10</x:v>
      </x:c>
      <x:c r="B124" s="32" t="str">
        <x:v>EVG-ACC-2-10</x:v>
      </x:c>
      <x:c r="C124" s="52" t="n">
        <x:v>46225</x:v>
      </x:c>
      <x:c r="D124" s="32" t="str">
        <x:v>Daily Account</x:v>
      </x:c>
      <x:c r="E124" s="32" t="str">
        <x:v>Account Slot 10</x:v>
      </x:c>
      <x:c r="F124" s="32" t="str">
        <x:v>Profile snapshot</x:v>
      </x:c>
      <x:c r="G124" s="32" t="str">
        <x:v>EOD</x:v>
      </x:c>
      <x:c r="H124" s="32" t="str">
        <x:v>20:30</x:v>
      </x:c>
      <x:c r="I124" s="32" t="str">
        <x:v>interview_assets/evidence/account_d2_s10.png</x:v>
      </x:c>
      <x:c r="J124" s="32" t="str"/>
      <x:c r="K124" s="32" t="str"/>
      <x:c r="L124" s="55" t="str"/>
      <x:c r="M124" s="32" t="str">
        <x:v>Not Required</x:v>
      </x:c>
      <x:c r="N124" s="32" t="str">
        <x:v>DAILY_ACCOUNT</x:v>
      </x:c>
      <x:c r="O124" s="32" t="n">
        <x:v>24</x:v>
      </x:c>
      <x:c r="P124" s="32" t="str">
        <x:v>Account slot and daily metrics</x:v>
      </x:c>
      <x:c r="Q124" s="33" t="str">
        <x:v>Synthetic relative path only</x:v>
      </x:c>
    </x:row>
    <x:row r="125">
      <x:c r="A125" s="31" t="str">
        <x:v>EVD-ACC-D3-S1</x:v>
      </x:c>
      <x:c r="B125" s="32" t="str">
        <x:v>EVG-ACC-3-1</x:v>
      </x:c>
      <x:c r="C125" s="52" t="n">
        <x:v>46226</x:v>
      </x:c>
      <x:c r="D125" s="32" t="str">
        <x:v>Daily Account</x:v>
      </x:c>
      <x:c r="E125" s="32" t="str">
        <x:v>Account Slot 1</x:v>
      </x:c>
      <x:c r="F125" s="32" t="str">
        <x:v>Profile snapshot</x:v>
      </x:c>
      <x:c r="G125" s="32" t="str">
        <x:v>EOD</x:v>
      </x:c>
      <x:c r="H125" s="32" t="str">
        <x:v>20:30</x:v>
      </x:c>
      <x:c r="I125" s="32" t="str">
        <x:v>interview_assets/evidence/account_d3_s1.png</x:v>
      </x:c>
      <x:c r="J125" s="32" t="str"/>
      <x:c r="K125" s="32" t="str"/>
      <x:c r="L125" s="55" t="str"/>
      <x:c r="M125" s="32" t="str">
        <x:v>Not Required</x:v>
      </x:c>
      <x:c r="N125" s="32" t="str">
        <x:v>DAILY_ACCOUNT</x:v>
      </x:c>
      <x:c r="O125" s="32" t="n">
        <x:v>25</x:v>
      </x:c>
      <x:c r="P125" s="32" t="str">
        <x:v>Account slot and daily metrics</x:v>
      </x:c>
      <x:c r="Q125" s="33" t="str">
        <x:v>Synthetic relative path only</x:v>
      </x:c>
    </x:row>
    <x:row r="126">
      <x:c r="A126" s="31" t="str">
        <x:v>EVD-ACC-D3-S2</x:v>
      </x:c>
      <x:c r="B126" s="32" t="str">
        <x:v>EVG-ACC-3-2</x:v>
      </x:c>
      <x:c r="C126" s="52" t="n">
        <x:v>46226</x:v>
      </x:c>
      <x:c r="D126" s="32" t="str">
        <x:v>Daily Account</x:v>
      </x:c>
      <x:c r="E126" s="32" t="str">
        <x:v>Account Slot 2</x:v>
      </x:c>
      <x:c r="F126" s="32" t="str">
        <x:v>Profile snapshot</x:v>
      </x:c>
      <x:c r="G126" s="32" t="str">
        <x:v>EOD</x:v>
      </x:c>
      <x:c r="H126" s="32" t="str">
        <x:v>20:30</x:v>
      </x:c>
      <x:c r="I126" s="32" t="str">
        <x:v>interview_assets/evidence/account_d3_s2.png</x:v>
      </x:c>
      <x:c r="J126" s="32" t="str"/>
      <x:c r="K126" s="32" t="str"/>
      <x:c r="L126" s="55" t="str"/>
      <x:c r="M126" s="32" t="str">
        <x:v>Not Required</x:v>
      </x:c>
      <x:c r="N126" s="32" t="str">
        <x:v>DAILY_ACCOUNT</x:v>
      </x:c>
      <x:c r="O126" s="32" t="n">
        <x:v>26</x:v>
      </x:c>
      <x:c r="P126" s="32" t="str">
        <x:v>Account slot and daily metrics</x:v>
      </x:c>
      <x:c r="Q126" s="33" t="str">
        <x:v>Synthetic relative path only</x:v>
      </x:c>
    </x:row>
    <x:row r="127">
      <x:c r="A127" s="31" t="str">
        <x:v>EVD-ACC-D3-S3</x:v>
      </x:c>
      <x:c r="B127" s="32" t="str">
        <x:v>EVG-ACC-3-3</x:v>
      </x:c>
      <x:c r="C127" s="52" t="n">
        <x:v>46226</x:v>
      </x:c>
      <x:c r="D127" s="32" t="str">
        <x:v>Daily Account</x:v>
      </x:c>
      <x:c r="E127" s="32" t="str">
        <x:v>Account Slot 3</x:v>
      </x:c>
      <x:c r="F127" s="32" t="str">
        <x:v>Profile snapshot</x:v>
      </x:c>
      <x:c r="G127" s="32" t="str">
        <x:v>EOD</x:v>
      </x:c>
      <x:c r="H127" s="32" t="str">
        <x:v>20:30</x:v>
      </x:c>
      <x:c r="I127" s="32" t="str">
        <x:v>interview_assets/evidence/account_d3_s3.png</x:v>
      </x:c>
      <x:c r="J127" s="32" t="str"/>
      <x:c r="K127" s="32" t="str"/>
      <x:c r="L127" s="55" t="str"/>
      <x:c r="M127" s="32" t="str">
        <x:v>Not Required</x:v>
      </x:c>
      <x:c r="N127" s="32" t="str">
        <x:v>DAILY_ACCOUNT</x:v>
      </x:c>
      <x:c r="O127" s="32" t="n">
        <x:v>27</x:v>
      </x:c>
      <x:c r="P127" s="32" t="str">
        <x:v>Account slot and daily metrics</x:v>
      </x:c>
      <x:c r="Q127" s="33" t="str">
        <x:v>Synthetic relative path only</x:v>
      </x:c>
    </x:row>
    <x:row r="128">
      <x:c r="A128" s="31" t="str">
        <x:v>EVD-ACC-D3-S4</x:v>
      </x:c>
      <x:c r="B128" s="32" t="str">
        <x:v>EVG-ACC-3-4</x:v>
      </x:c>
      <x:c r="C128" s="52" t="n">
        <x:v>46226</x:v>
      </x:c>
      <x:c r="D128" s="32" t="str">
        <x:v>Daily Account</x:v>
      </x:c>
      <x:c r="E128" s="32" t="str">
        <x:v>Account Slot 4</x:v>
      </x:c>
      <x:c r="F128" s="32" t="str">
        <x:v>Profile snapshot</x:v>
      </x:c>
      <x:c r="G128" s="32" t="str">
        <x:v>EOD</x:v>
      </x:c>
      <x:c r="H128" s="32" t="str">
        <x:v>20:30</x:v>
      </x:c>
      <x:c r="I128" s="32" t="str">
        <x:v>interview_assets/evidence/account_d3_s4.png</x:v>
      </x:c>
      <x:c r="J128" s="32" t="str"/>
      <x:c r="K128" s="32" t="str"/>
      <x:c r="L128" s="55" t="str"/>
      <x:c r="M128" s="32" t="str">
        <x:v>Not Required</x:v>
      </x:c>
      <x:c r="N128" s="32" t="str">
        <x:v>DAILY_ACCOUNT</x:v>
      </x:c>
      <x:c r="O128" s="32" t="n">
        <x:v>28</x:v>
      </x:c>
      <x:c r="P128" s="32" t="str">
        <x:v>Account slot and daily metrics</x:v>
      </x:c>
      <x:c r="Q128" s="33" t="str">
        <x:v>Synthetic relative path only</x:v>
      </x:c>
    </x:row>
    <x:row r="129">
      <x:c r="A129" s="31" t="str">
        <x:v>EVD-ACC-D3-S5</x:v>
      </x:c>
      <x:c r="B129" s="32" t="str">
        <x:v>EVG-ACC-3-5</x:v>
      </x:c>
      <x:c r="C129" s="52" t="n">
        <x:v>46226</x:v>
      </x:c>
      <x:c r="D129" s="32" t="str">
        <x:v>Daily Account</x:v>
      </x:c>
      <x:c r="E129" s="32" t="str">
        <x:v>Account Slot 5</x:v>
      </x:c>
      <x:c r="F129" s="32" t="str">
        <x:v>Profile snapshot</x:v>
      </x:c>
      <x:c r="G129" s="32" t="str">
        <x:v>EOD</x:v>
      </x:c>
      <x:c r="H129" s="32" t="str">
        <x:v>20:30</x:v>
      </x:c>
      <x:c r="I129" s="32" t="str">
        <x:v>interview_assets/evidence/account_d3_s5.png</x:v>
      </x:c>
      <x:c r="J129" s="32" t="str"/>
      <x:c r="K129" s="32" t="str"/>
      <x:c r="L129" s="55" t="str"/>
      <x:c r="M129" s="32" t="str">
        <x:v>Not Required</x:v>
      </x:c>
      <x:c r="N129" s="32" t="str">
        <x:v>DAILY_ACCOUNT</x:v>
      </x:c>
      <x:c r="O129" s="32" t="n">
        <x:v>29</x:v>
      </x:c>
      <x:c r="P129" s="32" t="str">
        <x:v>Account slot and daily metrics</x:v>
      </x:c>
      <x:c r="Q129" s="33" t="str">
        <x:v>Synthetic relative path only</x:v>
      </x:c>
    </x:row>
    <x:row r="130">
      <x:c r="A130" s="31" t="str">
        <x:v>EVD-ACC-D3-S6</x:v>
      </x:c>
      <x:c r="B130" s="32" t="str">
        <x:v>EVG-ACC-3-6</x:v>
      </x:c>
      <x:c r="C130" s="52" t="n">
        <x:v>46226</x:v>
      </x:c>
      <x:c r="D130" s="32" t="str">
        <x:v>Daily Account</x:v>
      </x:c>
      <x:c r="E130" s="32" t="str">
        <x:v>Account Slot 6</x:v>
      </x:c>
      <x:c r="F130" s="32" t="str">
        <x:v>Profile snapshot</x:v>
      </x:c>
      <x:c r="G130" s="32" t="str">
        <x:v>EOD</x:v>
      </x:c>
      <x:c r="H130" s="32" t="str">
        <x:v>20:30</x:v>
      </x:c>
      <x:c r="I130" s="32" t="str">
        <x:v>interview_assets/evidence/account_d3_s6.png</x:v>
      </x:c>
      <x:c r="J130" s="32" t="str"/>
      <x:c r="K130" s="32" t="str"/>
      <x:c r="L130" s="55" t="str"/>
      <x:c r="M130" s="32" t="str">
        <x:v>Not Required</x:v>
      </x:c>
      <x:c r="N130" s="32" t="str">
        <x:v>DAILY_ACCOUNT</x:v>
      </x:c>
      <x:c r="O130" s="32" t="n">
        <x:v>30</x:v>
      </x:c>
      <x:c r="P130" s="32" t="str">
        <x:v>Account slot and daily metrics</x:v>
      </x:c>
      <x:c r="Q130" s="33" t="str">
        <x:v>Synthetic relative path only</x:v>
      </x:c>
    </x:row>
    <x:row r="131">
      <x:c r="A131" s="31" t="str">
        <x:v>EVD-ACC-D3-S7</x:v>
      </x:c>
      <x:c r="B131" s="32" t="str">
        <x:v>EVG-ACC-3-7</x:v>
      </x:c>
      <x:c r="C131" s="52" t="n">
        <x:v>46226</x:v>
      </x:c>
      <x:c r="D131" s="32" t="str">
        <x:v>Daily Account</x:v>
      </x:c>
      <x:c r="E131" s="32" t="str">
        <x:v>Account Slot 7</x:v>
      </x:c>
      <x:c r="F131" s="32" t="str">
        <x:v>Profile snapshot</x:v>
      </x:c>
      <x:c r="G131" s="32" t="str">
        <x:v>EOD</x:v>
      </x:c>
      <x:c r="H131" s="32" t="str">
        <x:v>20:30</x:v>
      </x:c>
      <x:c r="I131" s="32" t="str">
        <x:v>interview_assets/evidence/account_d3_s7.png</x:v>
      </x:c>
      <x:c r="J131" s="32" t="str"/>
      <x:c r="K131" s="32" t="str"/>
      <x:c r="L131" s="55" t="str"/>
      <x:c r="M131" s="32" t="str">
        <x:v>Not Required</x:v>
      </x:c>
      <x:c r="N131" s="32" t="str">
        <x:v>DAILY_ACCOUNT</x:v>
      </x:c>
      <x:c r="O131" s="32" t="n">
        <x:v>31</x:v>
      </x:c>
      <x:c r="P131" s="32" t="str">
        <x:v>Account slot and daily metrics</x:v>
      </x:c>
      <x:c r="Q131" s="33" t="str">
        <x:v>Synthetic relative path only</x:v>
      </x:c>
    </x:row>
    <x:row r="132">
      <x:c r="A132" s="31" t="str">
        <x:v>EVD-ACC-D3-S8</x:v>
      </x:c>
      <x:c r="B132" s="32" t="str">
        <x:v>EVG-ACC-3-8</x:v>
      </x:c>
      <x:c r="C132" s="52" t="n">
        <x:v>46226</x:v>
      </x:c>
      <x:c r="D132" s="32" t="str">
        <x:v>Daily Account</x:v>
      </x:c>
      <x:c r="E132" s="32" t="str">
        <x:v>Account Slot 8</x:v>
      </x:c>
      <x:c r="F132" s="32" t="str">
        <x:v>Profile snapshot</x:v>
      </x:c>
      <x:c r="G132" s="32" t="str">
        <x:v>EOD</x:v>
      </x:c>
      <x:c r="H132" s="32" t="str">
        <x:v>20:30</x:v>
      </x:c>
      <x:c r="I132" s="32" t="str">
        <x:v>interview_assets/evidence/account_d3_s8.png</x:v>
      </x:c>
      <x:c r="J132" s="32" t="str"/>
      <x:c r="K132" s="32" t="str"/>
      <x:c r="L132" s="55" t="str"/>
      <x:c r="M132" s="32" t="str">
        <x:v>Not Required</x:v>
      </x:c>
      <x:c r="N132" s="32" t="str">
        <x:v>DAILY_ACCOUNT</x:v>
      </x:c>
      <x:c r="O132" s="32" t="n">
        <x:v>32</x:v>
      </x:c>
      <x:c r="P132" s="32" t="str">
        <x:v>Account slot and daily metrics</x:v>
      </x:c>
      <x:c r="Q132" s="33" t="str">
        <x:v>Synthetic relative path only</x:v>
      </x:c>
    </x:row>
    <x:row r="133">
      <x:c r="A133" s="31" t="str">
        <x:v>EVD-ACC-D3-S9</x:v>
      </x:c>
      <x:c r="B133" s="32" t="str">
        <x:v>EVG-ACC-3-9</x:v>
      </x:c>
      <x:c r="C133" s="52" t="n">
        <x:v>46226</x:v>
      </x:c>
      <x:c r="D133" s="32" t="str">
        <x:v>Daily Account</x:v>
      </x:c>
      <x:c r="E133" s="32" t="str">
        <x:v>Account Slot 9</x:v>
      </x:c>
      <x:c r="F133" s="32" t="str">
        <x:v>Profile snapshot</x:v>
      </x:c>
      <x:c r="G133" s="32" t="str">
        <x:v>EOD</x:v>
      </x:c>
      <x:c r="H133" s="32" t="str">
        <x:v>20:30</x:v>
      </x:c>
      <x:c r="I133" s="32" t="str">
        <x:v>interview_assets/evidence/account_d3_s9.png</x:v>
      </x:c>
      <x:c r="J133" s="32" t="str"/>
      <x:c r="K133" s="32" t="str"/>
      <x:c r="L133" s="55" t="str"/>
      <x:c r="M133" s="32" t="str">
        <x:v>Not Required</x:v>
      </x:c>
      <x:c r="N133" s="32" t="str">
        <x:v>DAILY_ACCOUNT</x:v>
      </x:c>
      <x:c r="O133" s="32" t="n">
        <x:v>33</x:v>
      </x:c>
      <x:c r="P133" s="32" t="str">
        <x:v>Account slot and daily metrics</x:v>
      </x:c>
      <x:c r="Q133" s="33" t="str">
        <x:v>Synthetic relative path only</x:v>
      </x:c>
    </x:row>
    <x:row r="134">
      <x:c r="A134" s="31" t="str">
        <x:v>EVD-ACC-D3-S10</x:v>
      </x:c>
      <x:c r="B134" s="32" t="str">
        <x:v>EVG-ACC-3-10</x:v>
      </x:c>
      <x:c r="C134" s="52" t="n">
        <x:v>46226</x:v>
      </x:c>
      <x:c r="D134" s="32" t="str">
        <x:v>Daily Account</x:v>
      </x:c>
      <x:c r="E134" s="32" t="str">
        <x:v>Account Slot 10</x:v>
      </x:c>
      <x:c r="F134" s="32" t="str">
        <x:v>Profile snapshot</x:v>
      </x:c>
      <x:c r="G134" s="32" t="str">
        <x:v>EOD</x:v>
      </x:c>
      <x:c r="H134" s="32" t="str">
        <x:v>20:30</x:v>
      </x:c>
      <x:c r="I134" s="32" t="str">
        <x:v>interview_assets/evidence/account_d3_s10.png</x:v>
      </x:c>
      <x:c r="J134" s="32" t="str"/>
      <x:c r="K134" s="32" t="str"/>
      <x:c r="L134" s="55" t="str"/>
      <x:c r="M134" s="32" t="str">
        <x:v>Not Required</x:v>
      </x:c>
      <x:c r="N134" s="32" t="str">
        <x:v>DAILY_ACCOUNT</x:v>
      </x:c>
      <x:c r="O134" s="32" t="n">
        <x:v>34</x:v>
      </x:c>
      <x:c r="P134" s="32" t="str">
        <x:v>Account slot and daily metrics</x:v>
      </x:c>
      <x:c r="Q134" s="33" t="str">
        <x:v>Synthetic relative path only</x:v>
      </x:c>
    </x:row>
    <x:row r="135">
      <x:c r="A135" s="31" t="str">
        <x:v>EVD-ACC-D4-S1</x:v>
      </x:c>
      <x:c r="B135" s="32" t="str">
        <x:v>EVG-ACC-4-1</x:v>
      </x:c>
      <x:c r="C135" s="52" t="n">
        <x:v>46227</x:v>
      </x:c>
      <x:c r="D135" s="32" t="str">
        <x:v>Daily Account</x:v>
      </x:c>
      <x:c r="E135" s="32" t="str">
        <x:v>Account Slot 1</x:v>
      </x:c>
      <x:c r="F135" s="32" t="str">
        <x:v>Profile snapshot</x:v>
      </x:c>
      <x:c r="G135" s="32" t="str">
        <x:v>EOD</x:v>
      </x:c>
      <x:c r="H135" s="32" t="str">
        <x:v>20:30</x:v>
      </x:c>
      <x:c r="I135" s="32" t="str">
        <x:v>interview_assets/evidence/account_d4_s1.png</x:v>
      </x:c>
      <x:c r="J135" s="32" t="str"/>
      <x:c r="K135" s="32" t="str"/>
      <x:c r="L135" s="55" t="str"/>
      <x:c r="M135" s="32" t="str">
        <x:v>Not Required</x:v>
      </x:c>
      <x:c r="N135" s="32" t="str">
        <x:v>DAILY_ACCOUNT</x:v>
      </x:c>
      <x:c r="O135" s="32" t="n">
        <x:v>35</x:v>
      </x:c>
      <x:c r="P135" s="32" t="str">
        <x:v>Account slot and daily metrics</x:v>
      </x:c>
      <x:c r="Q135" s="33" t="str">
        <x:v>Synthetic relative path only</x:v>
      </x:c>
    </x:row>
    <x:row r="136">
      <x:c r="A136" s="31" t="str">
        <x:v>EVD-ACC-D4-S2</x:v>
      </x:c>
      <x:c r="B136" s="32" t="str">
        <x:v>EVG-ACC-4-2</x:v>
      </x:c>
      <x:c r="C136" s="52" t="n">
        <x:v>46227</x:v>
      </x:c>
      <x:c r="D136" s="32" t="str">
        <x:v>Daily Account</x:v>
      </x:c>
      <x:c r="E136" s="32" t="str">
        <x:v>Account Slot 2</x:v>
      </x:c>
      <x:c r="F136" s="32" t="str">
        <x:v>Profile snapshot</x:v>
      </x:c>
      <x:c r="G136" s="32" t="str">
        <x:v>EOD</x:v>
      </x:c>
      <x:c r="H136" s="32" t="str">
        <x:v>20:30</x:v>
      </x:c>
      <x:c r="I136" s="32" t="str">
        <x:v>interview_assets/evidence/account_d4_s2.png</x:v>
      </x:c>
      <x:c r="J136" s="32" t="str"/>
      <x:c r="K136" s="32" t="str"/>
      <x:c r="L136" s="55" t="str"/>
      <x:c r="M136" s="32" t="str">
        <x:v>Not Required</x:v>
      </x:c>
      <x:c r="N136" s="32" t="str">
        <x:v>DAILY_ACCOUNT</x:v>
      </x:c>
      <x:c r="O136" s="32" t="n">
        <x:v>36</x:v>
      </x:c>
      <x:c r="P136" s="32" t="str">
        <x:v>Account slot and daily metrics</x:v>
      </x:c>
      <x:c r="Q136" s="33" t="str">
        <x:v>Synthetic relative path only</x:v>
      </x:c>
    </x:row>
    <x:row r="137">
      <x:c r="A137" s="31" t="str">
        <x:v>EVD-ACC-D4-S3</x:v>
      </x:c>
      <x:c r="B137" s="32" t="str">
        <x:v>EVG-ACC-4-3</x:v>
      </x:c>
      <x:c r="C137" s="52" t="n">
        <x:v>46227</x:v>
      </x:c>
      <x:c r="D137" s="32" t="str">
        <x:v>Daily Account</x:v>
      </x:c>
      <x:c r="E137" s="32" t="str">
        <x:v>Account Slot 3</x:v>
      </x:c>
      <x:c r="F137" s="32" t="str">
        <x:v>Profile snapshot</x:v>
      </x:c>
      <x:c r="G137" s="32" t="str">
        <x:v>EOD</x:v>
      </x:c>
      <x:c r="H137" s="32" t="str">
        <x:v>20:30</x:v>
      </x:c>
      <x:c r="I137" s="32" t="str">
        <x:v>interview_assets/evidence/account_d4_s3.png</x:v>
      </x:c>
      <x:c r="J137" s="32" t="str"/>
      <x:c r="K137" s="32" t="str"/>
      <x:c r="L137" s="55" t="str"/>
      <x:c r="M137" s="32" t="str">
        <x:v>Not Required</x:v>
      </x:c>
      <x:c r="N137" s="32" t="str">
        <x:v>DAILY_ACCOUNT</x:v>
      </x:c>
      <x:c r="O137" s="32" t="n">
        <x:v>37</x:v>
      </x:c>
      <x:c r="P137" s="32" t="str">
        <x:v>Account slot and daily metrics</x:v>
      </x:c>
      <x:c r="Q137" s="33" t="str">
        <x:v>Synthetic relative path only</x:v>
      </x:c>
    </x:row>
    <x:row r="138">
      <x:c r="A138" s="31" t="str">
        <x:v>EVD-ACC-D4-S4</x:v>
      </x:c>
      <x:c r="B138" s="32" t="str">
        <x:v>EVG-ACC-4-4</x:v>
      </x:c>
      <x:c r="C138" s="52" t="n">
        <x:v>46227</x:v>
      </x:c>
      <x:c r="D138" s="32" t="str">
        <x:v>Daily Account</x:v>
      </x:c>
      <x:c r="E138" s="32" t="str">
        <x:v>Account Slot 4</x:v>
      </x:c>
      <x:c r="F138" s="32" t="str">
        <x:v>Profile snapshot</x:v>
      </x:c>
      <x:c r="G138" s="32" t="str">
        <x:v>EOD</x:v>
      </x:c>
      <x:c r="H138" s="32" t="str">
        <x:v>20:30</x:v>
      </x:c>
      <x:c r="I138" s="32" t="str">
        <x:v>interview_assets/evidence/account_d4_s4.png</x:v>
      </x:c>
      <x:c r="J138" s="32" t="str"/>
      <x:c r="K138" s="32" t="str"/>
      <x:c r="L138" s="55" t="str"/>
      <x:c r="M138" s="32" t="str">
        <x:v>Not Required</x:v>
      </x:c>
      <x:c r="N138" s="32" t="str">
        <x:v>DAILY_ACCOUNT</x:v>
      </x:c>
      <x:c r="O138" s="32" t="n">
        <x:v>38</x:v>
      </x:c>
      <x:c r="P138" s="32" t="str">
        <x:v>Account slot and daily metrics</x:v>
      </x:c>
      <x:c r="Q138" s="33" t="str">
        <x:v>Synthetic relative path only</x:v>
      </x:c>
    </x:row>
    <x:row r="139">
      <x:c r="A139" s="31" t="str">
        <x:v>EVD-ACC-D4-S5</x:v>
      </x:c>
      <x:c r="B139" s="32" t="str">
        <x:v>EVG-ACC-4-5</x:v>
      </x:c>
      <x:c r="C139" s="52" t="n">
        <x:v>46227</x:v>
      </x:c>
      <x:c r="D139" s="32" t="str">
        <x:v>Daily Account</x:v>
      </x:c>
      <x:c r="E139" s="32" t="str">
        <x:v>Account Slot 5</x:v>
      </x:c>
      <x:c r="F139" s="32" t="str">
        <x:v>Profile snapshot</x:v>
      </x:c>
      <x:c r="G139" s="32" t="str">
        <x:v>EOD</x:v>
      </x:c>
      <x:c r="H139" s="32" t="str">
        <x:v>20:30</x:v>
      </x:c>
      <x:c r="I139" s="32" t="str">
        <x:v>interview_assets/evidence/account_d4_s5.png</x:v>
      </x:c>
      <x:c r="J139" s="32" t="str"/>
      <x:c r="K139" s="32" t="str"/>
      <x:c r="L139" s="55" t="str"/>
      <x:c r="M139" s="32" t="str">
        <x:v>Not Required</x:v>
      </x:c>
      <x:c r="N139" s="32" t="str">
        <x:v>DAILY_ACCOUNT</x:v>
      </x:c>
      <x:c r="O139" s="32" t="n">
        <x:v>39</x:v>
      </x:c>
      <x:c r="P139" s="32" t="str">
        <x:v>Account slot and daily metrics</x:v>
      </x:c>
      <x:c r="Q139" s="33" t="str">
        <x:v>Synthetic relative path only</x:v>
      </x:c>
    </x:row>
    <x:row r="140">
      <x:c r="A140" s="31" t="str">
        <x:v>EVD-ACC-D4-S6</x:v>
      </x:c>
      <x:c r="B140" s="32" t="str">
        <x:v>EVG-ACC-4-6</x:v>
      </x:c>
      <x:c r="C140" s="52" t="n">
        <x:v>46227</x:v>
      </x:c>
      <x:c r="D140" s="32" t="str">
        <x:v>Daily Account</x:v>
      </x:c>
      <x:c r="E140" s="32" t="str">
        <x:v>Account Slot 6</x:v>
      </x:c>
      <x:c r="F140" s="32" t="str">
        <x:v>Profile snapshot</x:v>
      </x:c>
      <x:c r="G140" s="32" t="str">
        <x:v>EOD</x:v>
      </x:c>
      <x:c r="H140" s="32" t="str">
        <x:v>20:30</x:v>
      </x:c>
      <x:c r="I140" s="32" t="str">
        <x:v>interview_assets/evidence/account_d4_s6.png</x:v>
      </x:c>
      <x:c r="J140" s="32" t="str"/>
      <x:c r="K140" s="32" t="str"/>
      <x:c r="L140" s="55" t="str"/>
      <x:c r="M140" s="32" t="str">
        <x:v>Not Required</x:v>
      </x:c>
      <x:c r="N140" s="32" t="str">
        <x:v>DAILY_ACCOUNT</x:v>
      </x:c>
      <x:c r="O140" s="32" t="n">
        <x:v>40</x:v>
      </x:c>
      <x:c r="P140" s="32" t="str">
        <x:v>Account slot and daily metrics</x:v>
      </x:c>
      <x:c r="Q140" s="33" t="str">
        <x:v>Synthetic relative path only</x:v>
      </x:c>
    </x:row>
    <x:row r="141">
      <x:c r="A141" s="31" t="str">
        <x:v>EVD-ACC-D4-S7</x:v>
      </x:c>
      <x:c r="B141" s="32" t="str">
        <x:v>EVG-ACC-4-7</x:v>
      </x:c>
      <x:c r="C141" s="52" t="n">
        <x:v>46227</x:v>
      </x:c>
      <x:c r="D141" s="32" t="str">
        <x:v>Daily Account</x:v>
      </x:c>
      <x:c r="E141" s="32" t="str">
        <x:v>Account Slot 7</x:v>
      </x:c>
      <x:c r="F141" s="32" t="str">
        <x:v>Profile snapshot</x:v>
      </x:c>
      <x:c r="G141" s="32" t="str">
        <x:v>EOD</x:v>
      </x:c>
      <x:c r="H141" s="32" t="str">
        <x:v>20:30</x:v>
      </x:c>
      <x:c r="I141" s="32" t="str">
        <x:v>interview_assets/evidence/account_d4_s7.png</x:v>
      </x:c>
      <x:c r="J141" s="32" t="str"/>
      <x:c r="K141" s="32" t="str"/>
      <x:c r="L141" s="55" t="str"/>
      <x:c r="M141" s="32" t="str">
        <x:v>Not Required</x:v>
      </x:c>
      <x:c r="N141" s="32" t="str">
        <x:v>DAILY_ACCOUNT</x:v>
      </x:c>
      <x:c r="O141" s="32" t="n">
        <x:v>41</x:v>
      </x:c>
      <x:c r="P141" s="32" t="str">
        <x:v>Account slot and daily metrics</x:v>
      </x:c>
      <x:c r="Q141" s="33" t="str">
        <x:v>Synthetic relative path only</x:v>
      </x:c>
    </x:row>
    <x:row r="142">
      <x:c r="A142" s="31" t="str">
        <x:v>EVD-ACC-D4-S8</x:v>
      </x:c>
      <x:c r="B142" s="32" t="str">
        <x:v>EVG-ACC-4-8</x:v>
      </x:c>
      <x:c r="C142" s="52" t="n">
        <x:v>46227</x:v>
      </x:c>
      <x:c r="D142" s="32" t="str">
        <x:v>Daily Account</x:v>
      </x:c>
      <x:c r="E142" s="32" t="str">
        <x:v>Account Slot 8</x:v>
      </x:c>
      <x:c r="F142" s="32" t="str">
        <x:v>Profile snapshot</x:v>
      </x:c>
      <x:c r="G142" s="32" t="str">
        <x:v>EOD</x:v>
      </x:c>
      <x:c r="H142" s="32" t="str">
        <x:v>20:30</x:v>
      </x:c>
      <x:c r="I142" s="32" t="str">
        <x:v>interview_assets/evidence/account_d4_s8.png</x:v>
      </x:c>
      <x:c r="J142" s="32" t="str"/>
      <x:c r="K142" s="32" t="str"/>
      <x:c r="L142" s="55" t="str"/>
      <x:c r="M142" s="32" t="str">
        <x:v>Not Required</x:v>
      </x:c>
      <x:c r="N142" s="32" t="str">
        <x:v>DAILY_ACCOUNT</x:v>
      </x:c>
      <x:c r="O142" s="32" t="n">
        <x:v>42</x:v>
      </x:c>
      <x:c r="P142" s="32" t="str">
        <x:v>Account slot and daily metrics</x:v>
      </x:c>
      <x:c r="Q142" s="33" t="str">
        <x:v>Synthetic relative path only</x:v>
      </x:c>
    </x:row>
    <x:row r="143">
      <x:c r="A143" s="31" t="str">
        <x:v>EVD-ACC-D4-S9</x:v>
      </x:c>
      <x:c r="B143" s="32" t="str">
        <x:v>EVG-ACC-4-9</x:v>
      </x:c>
      <x:c r="C143" s="52" t="n">
        <x:v>46227</x:v>
      </x:c>
      <x:c r="D143" s="32" t="str">
        <x:v>Daily Account</x:v>
      </x:c>
      <x:c r="E143" s="32" t="str">
        <x:v>Account Slot 9</x:v>
      </x:c>
      <x:c r="F143" s="32" t="str">
        <x:v>Profile snapshot</x:v>
      </x:c>
      <x:c r="G143" s="32" t="str">
        <x:v>EOD</x:v>
      </x:c>
      <x:c r="H143" s="32" t="str">
        <x:v>20:30</x:v>
      </x:c>
      <x:c r="I143" s="32" t="str">
        <x:v>interview_assets/evidence/account_d4_s9.png</x:v>
      </x:c>
      <x:c r="J143" s="32" t="str"/>
      <x:c r="K143" s="32" t="str"/>
      <x:c r="L143" s="55" t="str"/>
      <x:c r="M143" s="32" t="str">
        <x:v>Not Required</x:v>
      </x:c>
      <x:c r="N143" s="32" t="str">
        <x:v>DAILY_ACCOUNT</x:v>
      </x:c>
      <x:c r="O143" s="32" t="n">
        <x:v>43</x:v>
      </x:c>
      <x:c r="P143" s="32" t="str">
        <x:v>Account slot and daily metrics</x:v>
      </x:c>
      <x:c r="Q143" s="33" t="str">
        <x:v>Synthetic relative path only</x:v>
      </x:c>
    </x:row>
    <x:row r="144">
      <x:c r="A144" s="31" t="str">
        <x:v>EVD-ACC-D4-S10</x:v>
      </x:c>
      <x:c r="B144" s="32" t="str">
        <x:v>EVG-ACC-4-10</x:v>
      </x:c>
      <x:c r="C144" s="52" t="n">
        <x:v>46227</x:v>
      </x:c>
      <x:c r="D144" s="32" t="str">
        <x:v>Daily Account</x:v>
      </x:c>
      <x:c r="E144" s="32" t="str">
        <x:v>Account Slot 10</x:v>
      </x:c>
      <x:c r="F144" s="32" t="str">
        <x:v>Profile snapshot</x:v>
      </x:c>
      <x:c r="G144" s="32" t="str">
        <x:v>EOD</x:v>
      </x:c>
      <x:c r="H144" s="32" t="str">
        <x:v>20:30</x:v>
      </x:c>
      <x:c r="I144" s="32" t="str">
        <x:v>interview_assets/evidence/account_d4_s10.png</x:v>
      </x:c>
      <x:c r="J144" s="32" t="str"/>
      <x:c r="K144" s="32" t="str"/>
      <x:c r="L144" s="55" t="str"/>
      <x:c r="M144" s="32" t="str">
        <x:v>Not Required</x:v>
      </x:c>
      <x:c r="N144" s="32" t="str">
        <x:v>DAILY_ACCOUNT</x:v>
      </x:c>
      <x:c r="O144" s="32" t="n">
        <x:v>44</x:v>
      </x:c>
      <x:c r="P144" s="32" t="str">
        <x:v>Account slot and daily metrics</x:v>
      </x:c>
      <x:c r="Q144" s="33" t="str">
        <x:v>Synthetic relative path only</x:v>
      </x:c>
    </x:row>
    <x:row r="145">
      <x:c r="A145" s="31" t="str">
        <x:v>EVD-BRAND-D1</x:v>
      </x:c>
      <x:c r="B145" s="32" t="str">
        <x:v>EVG-BRAND-1</x:v>
      </x:c>
      <x:c r="C145" s="52" t="n">
        <x:v>46224</x:v>
      </x:c>
      <x:c r="D145" s="32" t="str">
        <x:v>Brand</x:v>
      </x:c>
      <x:c r="E145" s="32" t="str">
        <x:v>Brand Account SYNTHETIC</x:v>
      </x:c>
      <x:c r="F145" s="32" t="str">
        <x:v>Brand snapshot</x:v>
      </x:c>
      <x:c r="G145" s="32" t="str">
        <x:v>EOD</x:v>
      </x:c>
      <x:c r="H145" s="32" t="str">
        <x:v>21:00</x:v>
      </x:c>
      <x:c r="I145" s="32" t="str">
        <x:v>interview_assets/evidence/brand_d1.png</x:v>
      </x:c>
      <x:c r="J145" s="32" t="str"/>
      <x:c r="K145" s="32" t="str"/>
      <x:c r="L145" s="55" t="str"/>
      <x:c r="M145" s="32" t="str">
        <x:v>Not Required</x:v>
      </x:c>
      <x:c r="N145" s="32" t="str">
        <x:v>DAILY_BRAND</x:v>
      </x:c>
      <x:c r="O145" s="32" t="n">
        <x:v>5</x:v>
      </x:c>
      <x:c r="P145" s="32" t="str">
        <x:v>Brand and shop metrics</x:v>
      </x:c>
      <x:c r="Q145" s="33" t="str">
        <x:v>Synthetic relative path only</x:v>
      </x:c>
    </x:row>
    <x:row r="146">
      <x:c r="A146" s="31" t="str">
        <x:v>EVD-BRAND-D2</x:v>
      </x:c>
      <x:c r="B146" s="32" t="str">
        <x:v>EVG-BRAND-2</x:v>
      </x:c>
      <x:c r="C146" s="52" t="n">
        <x:v>46225</x:v>
      </x:c>
      <x:c r="D146" s="32" t="str">
        <x:v>Brand</x:v>
      </x:c>
      <x:c r="E146" s="32" t="str">
        <x:v>Brand Account SYNTHETIC</x:v>
      </x:c>
      <x:c r="F146" s="32" t="str">
        <x:v>Brand snapshot</x:v>
      </x:c>
      <x:c r="G146" s="32" t="str">
        <x:v>EOD</x:v>
      </x:c>
      <x:c r="H146" s="32" t="str">
        <x:v>21:00</x:v>
      </x:c>
      <x:c r="I146" s="32" t="str">
        <x:v>interview_assets/evidence/brand_d2.png</x:v>
      </x:c>
      <x:c r="J146" s="32" t="str"/>
      <x:c r="K146" s="32" t="str"/>
      <x:c r="L146" s="55" t="str"/>
      <x:c r="M146" s="32" t="str">
        <x:v>Not Required</x:v>
      </x:c>
      <x:c r="N146" s="32" t="str">
        <x:v>DAILY_BRAND</x:v>
      </x:c>
      <x:c r="O146" s="32" t="n">
        <x:v>6</x:v>
      </x:c>
      <x:c r="P146" s="32" t="str">
        <x:v>Brand and shop metrics</x:v>
      </x:c>
      <x:c r="Q146" s="33" t="str">
        <x:v>Synthetic relative path only</x:v>
      </x:c>
    </x:row>
    <x:row r="147">
      <x:c r="A147" s="31" t="str">
        <x:v>EVD-BRAND-D3</x:v>
      </x:c>
      <x:c r="B147" s="32" t="str">
        <x:v>EVG-BRAND-3</x:v>
      </x:c>
      <x:c r="C147" s="52" t="n">
        <x:v>46226</x:v>
      </x:c>
      <x:c r="D147" s="32" t="str">
        <x:v>Brand</x:v>
      </x:c>
      <x:c r="E147" s="32" t="str">
        <x:v>Brand Account SYNTHETIC</x:v>
      </x:c>
      <x:c r="F147" s="32" t="str">
        <x:v>Brand snapshot</x:v>
      </x:c>
      <x:c r="G147" s="32" t="str">
        <x:v>EOD</x:v>
      </x:c>
      <x:c r="H147" s="32" t="str">
        <x:v>21:00</x:v>
      </x:c>
      <x:c r="I147" s="32" t="str">
        <x:v>interview_assets/evidence/brand_d3.png</x:v>
      </x:c>
      <x:c r="J147" s="32" t="str"/>
      <x:c r="K147" s="32" t="str"/>
      <x:c r="L147" s="55" t="str"/>
      <x:c r="M147" s="32" t="str">
        <x:v>Not Required</x:v>
      </x:c>
      <x:c r="N147" s="32" t="str">
        <x:v>DAILY_BRAND</x:v>
      </x:c>
      <x:c r="O147" s="32" t="n">
        <x:v>7</x:v>
      </x:c>
      <x:c r="P147" s="32" t="str">
        <x:v>Brand and shop metrics</x:v>
      </x:c>
      <x:c r="Q147" s="33" t="str">
        <x:v>Synthetic relative path only</x:v>
      </x:c>
    </x:row>
    <x:row r="148">
      <x:c r="A148" s="34" t="str">
        <x:v>EVD-BRAND-D4</x:v>
      </x:c>
      <x:c r="B148" s="35" t="str">
        <x:v>EVG-BRAND-4</x:v>
      </x:c>
      <x:c r="C148" s="53" t="n">
        <x:v>46227</x:v>
      </x:c>
      <x:c r="D148" s="35" t="str">
        <x:v>Brand</x:v>
      </x:c>
      <x:c r="E148" s="35" t="str">
        <x:v>Brand Account SYNTHETIC</x:v>
      </x:c>
      <x:c r="F148" s="35" t="str">
        <x:v>Brand snapshot</x:v>
      </x:c>
      <x:c r="G148" s="35" t="str">
        <x:v>EOD</x:v>
      </x:c>
      <x:c r="H148" s="35" t="str">
        <x:v>21:00</x:v>
      </x:c>
      <x:c r="I148" s="35" t="str">
        <x:v>interview_assets/evidence/brand_d4.png</x:v>
      </x:c>
      <x:c r="J148" s="35" t="str"/>
      <x:c r="K148" s="35" t="str"/>
      <x:c r="L148" s="56" t="str"/>
      <x:c r="M148" s="35" t="str">
        <x:v>Not Required</x:v>
      </x:c>
      <x:c r="N148" s="35" t="str">
        <x:v>DAILY_BRAND</x:v>
      </x:c>
      <x:c r="O148" s="35" t="n">
        <x:v>8</x:v>
      </x:c>
      <x:c r="P148" s="35" t="str">
        <x:v>Brand and shop metrics</x:v>
      </x:c>
      <x:c r="Q148" s="36" t="str">
        <x:v>Synthetic relative path only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acffac387184d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3" t="str">
        <x:v>08 Completeness Check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Formula-driven closeout for daily imports, execution, evidence and recheck coverage.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Date</x:v>
      </x:c>
      <x:c r="B4" s="16" t="str">
        <x:v>Entity Scope</x:v>
      </x:c>
      <x:c r="C4" s="16" t="str">
        <x:v>Required Rows</x:v>
      </x:c>
      <x:c r="D4" s="16" t="str">
        <x:v>Actual Rows</x:v>
      </x:c>
      <x:c r="E4" s="16" t="str">
        <x:v>Daily Account Data Status</x:v>
      </x:c>
      <x:c r="F4" s="16" t="str">
        <x:v>Brand Data Status</x:v>
      </x:c>
      <x:c r="G4" s="16" t="str">
        <x:v>Shop Metrics Status</x:v>
      </x:c>
      <x:c r="H4" s="16" t="str">
        <x:v>Comment Execution Status</x:v>
      </x:c>
      <x:c r="I4" s="16" t="str">
        <x:v>Evidence Index Status</x:v>
      </x:c>
      <x:c r="J4" s="16" t="str">
        <x:v>Recheck Status</x:v>
      </x:c>
      <x:c r="K4" s="16" t="str">
        <x:v>Known Gaps</x:v>
      </x:c>
      <x:c r="L4" s="16" t="str">
        <x:v>QC Owner</x:v>
      </x:c>
      <x:c r="M4" s="16" t="str">
        <x:v>QC Result</x:v>
      </x:c>
      <x:c r="N4" s="17" t="str">
        <x:v>Notes</x:v>
      </x:c>
    </x:row>
    <x:row r="5">
      <x:c r="A5" s="48" t="n">
        <x:v>46224</x:v>
      </x:c>
      <x:c r="B5" s="29" t="str">
        <x:v>Daily Closeout</x:v>
      </x:c>
      <x:c r="C5" s="29" t="n">
        <x:v>25</x:v>
      </x:c>
      <x:c r="D5" s="29" t="n">
        <x:f>COUNTIF('COMMENT_EXECUTION'!$A$5:$A$104,A5)</x:f>
        <x:v>25</x:v>
      </x:c>
      <x:c r="E5" s="29" t="str">
        <x:f>IF(COUNTIF('DAILY_ACCOUNT'!$A$5:$A$44,A5)=10,"Complete","Review")</x:f>
        <x:v>Complete</x:v>
      </x:c>
      <x:c r="F5" s="29" t="str">
        <x:f>IF(COUNTIF('DAILY_BRAND'!$A$5:$A$8,A5)=1,"Complete","Review")</x:f>
        <x:v>Complete</x:v>
      </x:c>
      <x:c r="G5" s="29" t="str">
        <x:f>IF(F5="Complete","Complete","Review")</x:f>
        <x:v>Complete</x:v>
      </x:c>
      <x:c r="H5" s="29" t="str">
        <x:f>IF(D5=C5,"Complete","Review")</x:f>
        <x:v>Complete</x:v>
      </x:c>
      <x:c r="I5" s="29" t="str">
        <x:f>IF(COUNTIF('EVIDENCE_INDEX'!$C$5:$C$148,A5)&gt;=25,"Complete","Review")</x:f>
        <x:v>Complete</x:v>
      </x:c>
      <x:c r="J5" s="29" t="str">
        <x:f>IF(COUNTIF('COMMENT_RECHECK'!$C$5:$C$204,A5)=50,"Complete","Review")</x:f>
        <x:v>Complete</x:v>
      </x:c>
      <x:c r="K5" s="29" t="str"/>
      <x:c r="L5" s="29" t="str">
        <x:v>Interview Candidate</x:v>
      </x:c>
      <x:c r="M5" s="29" t="str">
        <x:f>IF(COUNTIF(E5:J5,"Review")&gt;0,"Review","Pass")</x:f>
        <x:v>Pass</x:v>
      </x:c>
      <x:c r="N5" s="30" t="str">
        <x:v>Candidate to complete</x:v>
      </x:c>
    </x:row>
    <x:row r="6">
      <x:c r="A6" s="49" t="n">
        <x:v>46225</x:v>
      </x:c>
      <x:c r="B6" s="32" t="str">
        <x:v>Daily Closeout</x:v>
      </x:c>
      <x:c r="C6" s="32" t="n">
        <x:v>25</x:v>
      </x:c>
      <x:c r="D6" s="32" t="n">
        <x:v>24</x:v>
      </x:c>
      <x:c r="E6" s="32" t="str">
        <x:f>IF(COUNTIF('DAILY_ACCOUNT'!$A$5:$A$44,A6)=10,"Complete","Review")</x:f>
        <x:v>Complete</x:v>
      </x:c>
      <x:c r="F6" s="32" t="str">
        <x:f>IF(COUNTIF('DAILY_BRAND'!$A$5:$A$8,A6)=1,"Complete","Review")</x:f>
        <x:v>Complete</x:v>
      </x:c>
      <x:c r="G6" s="32" t="str">
        <x:f>IF(F6="Complete","Complete","Review")</x:f>
        <x:v>Complete</x:v>
      </x:c>
      <x:c r="H6" s="32" t="str">
        <x:f>IF(D6=C6,"Complete","Review")</x:f>
        <x:v>Review</x:v>
      </x:c>
      <x:c r="I6" s="32" t="str">
        <x:f>IF(COUNTIF('EVIDENCE_INDEX'!$C$5:$C$148,A6)&gt;=25,"Complete","Review")</x:f>
        <x:v>Complete</x:v>
      </x:c>
      <x:c r="J6" s="32" t="str">
        <x:f>IF(COUNTIF('COMMENT_RECHECK'!$C$5:$C$204,A6)=50,"Complete","Review")</x:f>
        <x:v>Complete</x:v>
      </x:c>
      <x:c r="K6" s="32" t="str"/>
      <x:c r="L6" s="32" t="str">
        <x:v>Interview Candidate</x:v>
      </x:c>
      <x:c r="M6" s="32" t="str">
        <x:f>IF(COUNTIF(E6:J6,"Review")&gt;0,"Review","Pass")</x:f>
        <x:v>Review</x:v>
      </x:c>
      <x:c r="N6" s="33" t="str">
        <x:v>Candidate to complete</x:v>
      </x:c>
    </x:row>
    <x:row r="7">
      <x:c r="A7" s="49" t="n">
        <x:v>46226</x:v>
      </x:c>
      <x:c r="B7" s="32" t="str">
        <x:v>Daily Closeout</x:v>
      </x:c>
      <x:c r="C7" s="32" t="n">
        <x:v>25</x:v>
      </x:c>
      <x:c r="D7" s="32" t="n">
        <x:f>COUNTIF('COMMENT_EXECUTION'!$A$5:$A$104,A7)</x:f>
        <x:v>25</x:v>
      </x:c>
      <x:c r="E7" s="32" t="str">
        <x:f>IF(COUNTIF('DAILY_ACCOUNT'!$A$5:$A$44,A7)=10,"Complete","Review")</x:f>
        <x:v>Review</x:v>
      </x:c>
      <x:c r="F7" s="32" t="str">
        <x:f>IF(COUNTIF('DAILY_BRAND'!$A$5:$A$8,A7)=1,"Complete","Review")</x:f>
        <x:v>Complete</x:v>
      </x:c>
      <x:c r="G7" s="32" t="str">
        <x:f>IF(F7="Complete","Complete","Review")</x:f>
        <x:v>Complete</x:v>
      </x:c>
      <x:c r="H7" s="32" t="str">
        <x:f>IF(D7=C7,"Complete","Review")</x:f>
        <x:v>Complete</x:v>
      </x:c>
      <x:c r="I7" s="32" t="str">
        <x:f>IF(COUNTIF('EVIDENCE_INDEX'!$C$5:$C$148,A7)&gt;=25,"Complete","Review")</x:f>
        <x:v>Complete</x:v>
      </x:c>
      <x:c r="J7" s="32" t="str">
        <x:f>IF(COUNTIF('COMMENT_RECHECK'!$C$5:$C$204,A7)=50,"Complete","Review")</x:f>
        <x:v>Complete</x:v>
      </x:c>
      <x:c r="K7" s="32" t="str"/>
      <x:c r="L7" s="32" t="str">
        <x:v>Interview Candidate</x:v>
      </x:c>
      <x:c r="M7" s="32" t="str">
        <x:f>IF(COUNTIF(E7:J7,"Review")&gt;0,"Review","Pass")</x:f>
        <x:v>Review</x:v>
      </x:c>
      <x:c r="N7" s="33" t="str">
        <x:v>Candidate to complete</x:v>
      </x:c>
    </x:row>
    <x:row r="8">
      <x:c r="A8" s="50" t="n">
        <x:v>46227</x:v>
      </x:c>
      <x:c r="B8" s="35" t="str">
        <x:v>Daily Closeout</x:v>
      </x:c>
      <x:c r="C8" s="35" t="n">
        <x:v>25</x:v>
      </x:c>
      <x:c r="D8" s="35" t="n">
        <x:f>COUNTIF('COMMENT_EXECUTION'!$A$5:$A$104,A8)</x:f>
        <x:v>25</x:v>
      </x:c>
      <x:c r="E8" s="35" t="str">
        <x:f>IF(COUNTIF('DAILY_ACCOUNT'!$A$5:$A$44,A8)=10,"Complete","Review")</x:f>
        <x:v>Complete</x:v>
      </x:c>
      <x:c r="F8" s="35" t="str">
        <x:f>IF(COUNTIF('DAILY_BRAND'!$A$5:$A$8,A8)=1,"Complete","Review")</x:f>
        <x:v>Complete</x:v>
      </x:c>
      <x:c r="G8" s="35" t="str">
        <x:f>IF(F8="Complete","Complete","Review")</x:f>
        <x:v>Complete</x:v>
      </x:c>
      <x:c r="H8" s="35" t="str">
        <x:f>IF(D8=C8,"Complete","Review")</x:f>
        <x:v>Complete</x:v>
      </x:c>
      <x:c r="I8" s="35" t="str">
        <x:f>IF(COUNTIF('EVIDENCE_INDEX'!$C$5:$C$148,A8)&gt;=25,"Complete","Review")</x:f>
        <x:v>Complete</x:v>
      </x:c>
      <x:c r="J8" s="35" t="str">
        <x:f>IF(COUNTIF('COMMENT_RECHECK'!$C$5:$C$204,A8)=50,"Complete","Review")</x:f>
        <x:v>Complete</x:v>
      </x:c>
      <x:c r="K8" s="35" t="str"/>
      <x:c r="L8" s="35" t="str">
        <x:v>Interview Candidate</x:v>
      </x:c>
      <x:c r="M8" s="35" t="str">
        <x:f>IF(COUNTIF(E8:J8,"Review")&gt;0,"Review","Pass")</x:f>
        <x:v>Pass</x:v>
      </x:c>
      <x:c r="N8" s="36" t="str">
        <x:v>Candidate to complete</x:v>
      </x:c>
    </x:row>
  </x:sheetData>
  <x:mergeCells>
    <x:mergeCell ref="A1:H1"/>
    <x:mergeCell ref="A2:H2"/>
  </x:mergeCells>
  <x:conditionalFormatting sqref="E5:M8">
    <x:cfRule type="containsText" dxfId="16" priority="1" operator="containsText" text="Complete"/>
    <x:cfRule type="containsText" dxfId="17" priority="2" operator="containsText" text="Pass"/>
    <x:cfRule type="containsText" dxfId="18" priority="3" operator="containsText" text="Review"/>
  </x:conditionalFormatting>
  <x:dataValidations count="1">
    <x:dataValidation type="list" sqref="M5:M8">
      <x:formula1>"Pass,Review,Fail"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cc75c90dab41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</x:cols>
  <x:sheetData>
    <x:row r="1" ht="28" customHeight="1">
      <x:c r="A1" s="3" t="str">
        <x:v>Product Bank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product records for advanced matching analysis. No real catalog, URLs, or manager notes.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Product ID</x:v>
      </x:c>
      <x:c r="B4" s="16" t="str">
        <x:v>Product Name TH</x:v>
      </x:c>
      <x:c r="C4" s="16" t="str">
        <x:v>Product Name EN</x:v>
      </x:c>
      <x:c r="D4" s="16" t="str">
        <x:v>Category</x:v>
      </x:c>
      <x:c r="E4" s="16" t="str">
        <x:v>Subcategory</x:v>
      </x:c>
      <x:c r="F4" s="16" t="str">
        <x:v>Primary Use Case</x:v>
      </x:c>
      <x:c r="G4" s="16" t="str">
        <x:v>Visual Cue</x:v>
      </x:c>
      <x:c r="H4" s="16" t="str">
        <x:v>Shirt Type Fit</x:v>
      </x:c>
      <x:c r="I4" s="16" t="str">
        <x:v>Style Match</x:v>
      </x:c>
      <x:c r="J4" s="16" t="str">
        <x:v>Occasion Fit</x:v>
      </x:c>
      <x:c r="K4" s="16" t="str">
        <x:v>Key Selling Point 1</x:v>
      </x:c>
      <x:c r="L4" s="16" t="str">
        <x:v>Key Selling Point 2</x:v>
      </x:c>
      <x:c r="M4" s="16" t="str">
        <x:v>Key Selling Point 3</x:v>
      </x:c>
      <x:c r="N4" s="16" t="str">
        <x:v>Material / Finish</x:v>
      </x:c>
      <x:c r="O4" s="16" t="str">
        <x:v>Color / Variant</x:v>
      </x:c>
      <x:c r="P4" s="16" t="str">
        <x:v>Best For Detail Area</x:v>
      </x:c>
      <x:c r="Q4" s="16" t="str">
        <x:v>Avoid Context</x:v>
      </x:c>
      <x:c r="R4" s="16" t="str">
        <x:v>Soft Mention Safe Angle</x:v>
      </x:c>
      <x:c r="S4" s="16" t="str">
        <x:v>Direct Sell Risk Note</x:v>
      </x:c>
      <x:c r="T4" s="16" t="str">
        <x:v>Priority</x:v>
      </x:c>
      <x:c r="U4" s="16" t="str">
        <x:v>Active</x:v>
      </x:c>
      <x:c r="V4" s="16" t="str">
        <x:v>Source URL</x:v>
      </x:c>
      <x:c r="W4" s="16" t="str">
        <x:v>Example Notes</x:v>
      </x:c>
      <x:c r="X4" s="16" t="str">
        <x:v>Hero Product Tier</x:v>
      </x:c>
      <x:c r="Y4" s="16" t="str">
        <x:v>Priority Reason</x:v>
      </x:c>
      <x:c r="Z4" s="16" t="str">
        <x:v>Recommended Keyword Group</x:v>
      </x:c>
      <x:c r="AA4" s="16" t="str">
        <x:v>Recommended Comment Angle</x:v>
      </x:c>
      <x:c r="AB4" s="17" t="str">
        <x:v>Manager Note</x:v>
      </x:c>
    </x:row>
    <x:row r="5">
      <x:c r="A5" s="28" t="str">
        <x:v>PROD-001</x:v>
      </x:c>
      <x:c r="B5" s="29" t="str">
        <x:v>กระดุมมุกคลาสสิก</x:v>
      </x:c>
      <x:c r="C5" s="29" t="str">
        <x:v>Classic Pearl Button</x:v>
      </x:c>
      <x:c r="D5" s="29" t="str">
        <x:v>Fashion Buttons</x:v>
      </x:c>
      <x:c r="E5" s="29" t="str">
        <x:v>Subcategory 1</x:v>
      </x:c>
      <x:c r="F5" s="29" t="str">
        <x:v>Interview matching exercise</x:v>
      </x:c>
      <x:c r="G5" s="29" t="str">
        <x:v>Visual cue 1</x:v>
      </x:c>
      <x:c r="H5" s="29" t="str">
        <x:v>Regular</x:v>
      </x:c>
      <x:c r="I5" s="29" t="str">
        <x:v>Minimal</x:v>
      </x:c>
      <x:c r="J5" s="29" t="str">
        <x:v>Work</x:v>
      </x:c>
      <x:c r="K5" s="29" t="str">
        <x:v>Synthetic value 1</x:v>
      </x:c>
      <x:c r="L5" s="29" t="str">
        <x:v>Synthetic value 2</x:v>
      </x:c>
      <x:c r="M5" s="29" t="str">
        <x:v>Synthetic value 3</x:v>
      </x:c>
      <x:c r="N5" s="29" t="str">
        <x:v>Synthetic fabric</x:v>
      </x:c>
      <x:c r="O5" s="29" t="str">
        <x:v>White</x:v>
      </x:c>
      <x:c r="P5" s="29" t="str">
        <x:v>Collar / sleeve</x:v>
      </x:c>
      <x:c r="Q5" s="29" t="str">
        <x:v>Sensitive contexts</x:v>
      </x:c>
      <x:c r="R5" s="29" t="str">
        <x:v>Style-fit observation</x:v>
      </x:c>
      <x:c r="S5" s="29" t="str">
        <x:v>Avoid direct selling</x:v>
      </x:c>
      <x:c r="T5" s="29" t="str">
        <x:v>High</x:v>
      </x:c>
      <x:c r="U5" s="29" t="str">
        <x:v>Yes</x:v>
      </x:c>
      <x:c r="V5" s="54" t="str"/>
      <x:c r="W5" s="29" t="str">
        <x:v>Synthetic only</x:v>
      </x:c>
      <x:c r="X5" s="29" t="str">
        <x:v>Hero</x:v>
      </x:c>
      <x:c r="Y5" s="29" t="str">
        <x:v>Interview priority</x:v>
      </x:c>
      <x:c r="Z5" s="29" t="str">
        <x:v>KWG-1</x:v>
      </x:c>
      <x:c r="AA5" s="29" t="str">
        <x:v>ANGLE-01</x:v>
      </x:c>
      <x:c r="AB5" s="30" t="str">
        <x:v>No real catalog data</x:v>
      </x:c>
    </x:row>
    <x:row r="6">
      <x:c r="A6" s="31" t="str">
        <x:v>PROD-002</x:v>
      </x:c>
      <x:c r="B6" s="32" t="str">
        <x:v>กระดุมโลหะดำด้าน</x:v>
      </x:c>
      <x:c r="C6" s="32" t="str">
        <x:v>Matte Black Metal Button</x:v>
      </x:c>
      <x:c r="D6" s="32" t="str">
        <x:v>Fashion Buttons</x:v>
      </x:c>
      <x:c r="E6" s="32" t="str">
        <x:v>Subcategory 2</x:v>
      </x:c>
      <x:c r="F6" s="32" t="str">
        <x:v>Interview matching exercise</x:v>
      </x:c>
      <x:c r="G6" s="32" t="str">
        <x:v>Visual cue 2</x:v>
      </x:c>
      <x:c r="H6" s="32" t="str">
        <x:v>Regular</x:v>
      </x:c>
      <x:c r="I6" s="32" t="str">
        <x:v>Smart</x:v>
      </x:c>
      <x:c r="J6" s="32" t="str">
        <x:v>Travel</x:v>
      </x:c>
      <x:c r="K6" s="32" t="str">
        <x:v>Synthetic value 1</x:v>
      </x:c>
      <x:c r="L6" s="32" t="str">
        <x:v>Synthetic value 2</x:v>
      </x:c>
      <x:c r="M6" s="32" t="str">
        <x:v>Synthetic value 3</x:v>
      </x:c>
      <x:c r="N6" s="32" t="str">
        <x:v>Synthetic fabric</x:v>
      </x:c>
      <x:c r="O6" s="32" t="str">
        <x:v>Navy</x:v>
      </x:c>
      <x:c r="P6" s="32" t="str">
        <x:v>Collar / sleeve</x:v>
      </x:c>
      <x:c r="Q6" s="32" t="str">
        <x:v>Sensitive contexts</x:v>
      </x:c>
      <x:c r="R6" s="32" t="str">
        <x:v>Style-fit observation</x:v>
      </x:c>
      <x:c r="S6" s="32" t="str">
        <x:v>Avoid direct selling</x:v>
      </x:c>
      <x:c r="T6" s="32" t="str">
        <x:v>High</x:v>
      </x:c>
      <x:c r="U6" s="32" t="str">
        <x:v>Yes</x:v>
      </x:c>
      <x:c r="V6" s="55" t="str"/>
      <x:c r="W6" s="32" t="str">
        <x:v>Synthetic only</x:v>
      </x:c>
      <x:c r="X6" s="32" t="str">
        <x:v>Hero</x:v>
      </x:c>
      <x:c r="Y6" s="32" t="str">
        <x:v>Interview priority</x:v>
      </x:c>
      <x:c r="Z6" s="32" t="str">
        <x:v>KWG-2</x:v>
      </x:c>
      <x:c r="AA6" s="32" t="str">
        <x:v>ANGLE-02</x:v>
      </x:c>
      <x:c r="AB6" s="33" t="str">
        <x:v>No real catalog data</x:v>
      </x:c>
    </x:row>
    <x:row r="7">
      <x:c r="A7" s="31" t="str">
        <x:v>PROD-003</x:v>
      </x:c>
      <x:c r="B7" s="32" t="str">
        <x:v>กระดุมทองลายดอก</x:v>
      </x:c>
      <x:c r="C7" s="32" t="str">
        <x:v>Gold Floral Button</x:v>
      </x:c>
      <x:c r="D7" s="32" t="str">
        <x:v>Fashion Buttons</x:v>
      </x:c>
      <x:c r="E7" s="32" t="str">
        <x:v>Subcategory 3</x:v>
      </x:c>
      <x:c r="F7" s="32" t="str">
        <x:v>Interview matching exercise</x:v>
      </x:c>
      <x:c r="G7" s="32" t="str">
        <x:v>Visual cue 3</x:v>
      </x:c>
      <x:c r="H7" s="32" t="str">
        <x:v>Regular</x:v>
      </x:c>
      <x:c r="I7" s="32" t="str">
        <x:v>Casual</x:v>
      </x:c>
      <x:c r="J7" s="32" t="str">
        <x:v>Everyday</x:v>
      </x:c>
      <x:c r="K7" s="32" t="str">
        <x:v>Synthetic value 1</x:v>
      </x:c>
      <x:c r="L7" s="32" t="str">
        <x:v>Synthetic value 2</x:v>
      </x:c>
      <x:c r="M7" s="32" t="str">
        <x:v>Synthetic value 3</x:v>
      </x:c>
      <x:c r="N7" s="32" t="str">
        <x:v>Synthetic fabric</x:v>
      </x:c>
      <x:c r="O7" s="32" t="str">
        <x:v>Gray</x:v>
      </x:c>
      <x:c r="P7" s="32" t="str">
        <x:v>Collar / sleeve</x:v>
      </x:c>
      <x:c r="Q7" s="32" t="str">
        <x:v>Sensitive contexts</x:v>
      </x:c>
      <x:c r="R7" s="32" t="str">
        <x:v>Style-fit observation</x:v>
      </x:c>
      <x:c r="S7" s="32" t="str">
        <x:v>Avoid direct selling</x:v>
      </x:c>
      <x:c r="T7" s="32" t="str">
        <x:v>High</x:v>
      </x:c>
      <x:c r="U7" s="32" t="str">
        <x:v>Yes</x:v>
      </x:c>
      <x:c r="V7" s="55" t="str"/>
      <x:c r="W7" s="32" t="str">
        <x:v>Synthetic only</x:v>
      </x:c>
      <x:c r="X7" s="32" t="str">
        <x:v>Hero</x:v>
      </x:c>
      <x:c r="Y7" s="32" t="str">
        <x:v>Interview priority</x:v>
      </x:c>
      <x:c r="Z7" s="32" t="str">
        <x:v>KWG-3</x:v>
      </x:c>
      <x:c r="AA7" s="32" t="str">
        <x:v>ANGLE-03</x:v>
      </x:c>
      <x:c r="AB7" s="33" t="str">
        <x:v>No real catalog data</x:v>
      </x:c>
    </x:row>
    <x:row r="8">
      <x:c r="A8" s="31" t="str">
        <x:v>PROD-004</x:v>
      </x:c>
      <x:c r="B8" s="32" t="str">
        <x:v>ชุดกระดุมเรซินพาสเทล</x:v>
      </x:c>
      <x:c r="C8" s="32" t="str">
        <x:v>Pastel Resin Button Set</x:v>
      </x:c>
      <x:c r="D8" s="32" t="str">
        <x:v>Fashion Buttons</x:v>
      </x:c>
      <x:c r="E8" s="32" t="str">
        <x:v>Subcategory 4</x:v>
      </x:c>
      <x:c r="F8" s="32" t="str">
        <x:v>Interview matching exercise</x:v>
      </x:c>
      <x:c r="G8" s="32" t="str">
        <x:v>Visual cue 4</x:v>
      </x:c>
      <x:c r="H8" s="32" t="str">
        <x:v>Regular</x:v>
      </x:c>
      <x:c r="I8" s="32" t="str">
        <x:v>Minimal</x:v>
      </x:c>
      <x:c r="J8" s="32" t="str">
        <x:v>Work</x:v>
      </x:c>
      <x:c r="K8" s="32" t="str">
        <x:v>Synthetic value 1</x:v>
      </x:c>
      <x:c r="L8" s="32" t="str">
        <x:v>Synthetic value 2</x:v>
      </x:c>
      <x:c r="M8" s="32" t="str">
        <x:v>Synthetic value 3</x:v>
      </x:c>
      <x:c r="N8" s="32" t="str">
        <x:v>Synthetic fabric</x:v>
      </x:c>
      <x:c r="O8" s="32" t="str">
        <x:v>White</x:v>
      </x:c>
      <x:c r="P8" s="32" t="str">
        <x:v>Collar / sleeve</x:v>
      </x:c>
      <x:c r="Q8" s="32" t="str">
        <x:v>Sensitive contexts</x:v>
      </x:c>
      <x:c r="R8" s="32" t="str">
        <x:v>Style-fit observation</x:v>
      </x:c>
      <x:c r="S8" s="32" t="str">
        <x:v>Avoid direct selling</x:v>
      </x:c>
      <x:c r="T8" s="32" t="str">
        <x:v>High</x:v>
      </x:c>
      <x:c r="U8" s="32" t="str">
        <x:v>Yes</x:v>
      </x:c>
      <x:c r="V8" s="55" t="str"/>
      <x:c r="W8" s="32" t="str">
        <x:v>Synthetic only</x:v>
      </x:c>
      <x:c r="X8" s="32" t="str">
        <x:v>Standard</x:v>
      </x:c>
      <x:c r="Y8" s="32" t="str">
        <x:v>Interview priority</x:v>
      </x:c>
      <x:c r="Z8" s="32" t="str">
        <x:v>KWG-4</x:v>
      </x:c>
      <x:c r="AA8" s="32" t="str">
        <x:v>ANGLE-04</x:v>
      </x:c>
      <x:c r="AB8" s="33" t="str">
        <x:v>No real catalog data</x:v>
      </x:c>
    </x:row>
    <x:row r="9">
      <x:c r="A9" s="31" t="str">
        <x:v>PROD-005</x:v>
      </x:c>
      <x:c r="B9" s="32" t="str">
        <x:v>กระดุมไม้ธรรมชาติ</x:v>
      </x:c>
      <x:c r="C9" s="32" t="str">
        <x:v>Natural Wood Button</x:v>
      </x:c>
      <x:c r="D9" s="32" t="str">
        <x:v>Fashion Buttons</x:v>
      </x:c>
      <x:c r="E9" s="32" t="str">
        <x:v>Subcategory 1</x:v>
      </x:c>
      <x:c r="F9" s="32" t="str">
        <x:v>Interview matching exercise</x:v>
      </x:c>
      <x:c r="G9" s="32" t="str">
        <x:v>Visual cue 5</x:v>
      </x:c>
      <x:c r="H9" s="32" t="str">
        <x:v>Regular</x:v>
      </x:c>
      <x:c r="I9" s="32" t="str">
        <x:v>Smart</x:v>
      </x:c>
      <x:c r="J9" s="32" t="str">
        <x:v>Travel</x:v>
      </x:c>
      <x:c r="K9" s="32" t="str">
        <x:v>Synthetic value 1</x:v>
      </x:c>
      <x:c r="L9" s="32" t="str">
        <x:v>Synthetic value 2</x:v>
      </x:c>
      <x:c r="M9" s="32" t="str">
        <x:v>Synthetic value 3</x:v>
      </x:c>
      <x:c r="N9" s="32" t="str">
        <x:v>Synthetic fabric</x:v>
      </x:c>
      <x:c r="O9" s="32" t="str">
        <x:v>Navy</x:v>
      </x:c>
      <x:c r="P9" s="32" t="str">
        <x:v>Collar / sleeve</x:v>
      </x:c>
      <x:c r="Q9" s="32" t="str">
        <x:v>Sensitive contexts</x:v>
      </x:c>
      <x:c r="R9" s="32" t="str">
        <x:v>Style-fit observation</x:v>
      </x:c>
      <x:c r="S9" s="32" t="str">
        <x:v>Avoid direct selling</x:v>
      </x:c>
      <x:c r="T9" s="32" t="str">
        <x:v>Medium</x:v>
      </x:c>
      <x:c r="U9" s="32" t="str">
        <x:v>Yes</x:v>
      </x:c>
      <x:c r="V9" s="55" t="str"/>
      <x:c r="W9" s="32" t="str">
        <x:v>Synthetic only</x:v>
      </x:c>
      <x:c r="X9" s="32" t="str">
        <x:v>Standard</x:v>
      </x:c>
      <x:c r="Y9" s="32" t="str">
        <x:v>Interview priority</x:v>
      </x:c>
      <x:c r="Z9" s="32" t="str">
        <x:v>KWG-1</x:v>
      </x:c>
      <x:c r="AA9" s="32" t="str">
        <x:v>ANGLE-05</x:v>
      </x:c>
      <x:c r="AB9" s="33" t="str">
        <x:v>No real catalog data</x:v>
      </x:c>
    </x:row>
    <x:row r="10">
      <x:c r="A10" s="31" t="str">
        <x:v>PROD-006</x:v>
      </x:c>
      <x:c r="B10" s="32" t="str">
        <x:v>กระดุมเปลือกหอยสีครีม</x:v>
      </x:c>
      <x:c r="C10" s="32" t="str">
        <x:v>Cream Shell Button</x:v>
      </x:c>
      <x:c r="D10" s="32" t="str">
        <x:v>Fashion Buttons</x:v>
      </x:c>
      <x:c r="E10" s="32" t="str">
        <x:v>Subcategory 2</x:v>
      </x:c>
      <x:c r="F10" s="32" t="str">
        <x:v>Interview matching exercise</x:v>
      </x:c>
      <x:c r="G10" s="32" t="str">
        <x:v>Visual cue 6</x:v>
      </x:c>
      <x:c r="H10" s="32" t="str">
        <x:v>Regular</x:v>
      </x:c>
      <x:c r="I10" s="32" t="str">
        <x:v>Casual</x:v>
      </x:c>
      <x:c r="J10" s="32" t="str">
        <x:v>Everyday</x:v>
      </x:c>
      <x:c r="K10" s="32" t="str">
        <x:v>Synthetic value 1</x:v>
      </x:c>
      <x:c r="L10" s="32" t="str">
        <x:v>Synthetic value 2</x:v>
      </x:c>
      <x:c r="M10" s="32" t="str">
        <x:v>Synthetic value 3</x:v>
      </x:c>
      <x:c r="N10" s="32" t="str">
        <x:v>Synthetic fabric</x:v>
      </x:c>
      <x:c r="O10" s="32" t="str">
        <x:v>Gray</x:v>
      </x:c>
      <x:c r="P10" s="32" t="str">
        <x:v>Collar / sleeve</x:v>
      </x:c>
      <x:c r="Q10" s="32" t="str">
        <x:v>Sensitive contexts</x:v>
      </x:c>
      <x:c r="R10" s="32" t="str">
        <x:v>Style-fit observation</x:v>
      </x:c>
      <x:c r="S10" s="32" t="str">
        <x:v>Avoid direct selling</x:v>
      </x:c>
      <x:c r="T10" s="32" t="str">
        <x:v>Medium</x:v>
      </x:c>
      <x:c r="U10" s="32" t="str">
        <x:v>Yes</x:v>
      </x:c>
      <x:c r="V10" s="55" t="str"/>
      <x:c r="W10" s="32" t="str">
        <x:v>Synthetic only</x:v>
      </x:c>
      <x:c r="X10" s="32" t="str">
        <x:v>Standard</x:v>
      </x:c>
      <x:c r="Y10" s="32" t="str">
        <x:v>Interview priority</x:v>
      </x:c>
      <x:c r="Z10" s="32" t="str">
        <x:v>KWG-2</x:v>
      </x:c>
      <x:c r="AA10" s="32" t="str">
        <x:v>ANGLE-06</x:v>
      </x:c>
      <x:c r="AB10" s="33" t="str">
        <x:v>No real catalog data</x:v>
      </x:c>
    </x:row>
    <x:row r="11">
      <x:c r="A11" s="31" t="str">
        <x:v>PROD-007</x:v>
      </x:c>
      <x:c r="B11" s="32" t="str">
        <x:v>กระดุมโลหะวินเทจ</x:v>
      </x:c>
      <x:c r="C11" s="32" t="str">
        <x:v>Vintage Metal Button</x:v>
      </x:c>
      <x:c r="D11" s="32" t="str">
        <x:v>Fashion Buttons</x:v>
      </x:c>
      <x:c r="E11" s="32" t="str">
        <x:v>Subcategory 3</x:v>
      </x:c>
      <x:c r="F11" s="32" t="str">
        <x:v>Interview matching exercise</x:v>
      </x:c>
      <x:c r="G11" s="32" t="str">
        <x:v>Visual cue 7</x:v>
      </x:c>
      <x:c r="H11" s="32" t="str">
        <x:v>Regular</x:v>
      </x:c>
      <x:c r="I11" s="32" t="str">
        <x:v>Minimal</x:v>
      </x:c>
      <x:c r="J11" s="32" t="str">
        <x:v>Work</x:v>
      </x:c>
      <x:c r="K11" s="32" t="str">
        <x:v>Synthetic value 1</x:v>
      </x:c>
      <x:c r="L11" s="32" t="str">
        <x:v>Synthetic value 2</x:v>
      </x:c>
      <x:c r="M11" s="32" t="str">
        <x:v>Synthetic value 3</x:v>
      </x:c>
      <x:c r="N11" s="32" t="str">
        <x:v>Synthetic fabric</x:v>
      </x:c>
      <x:c r="O11" s="32" t="str">
        <x:v>White</x:v>
      </x:c>
      <x:c r="P11" s="32" t="str">
        <x:v>Collar / sleeve</x:v>
      </x:c>
      <x:c r="Q11" s="32" t="str">
        <x:v>Sensitive contexts</x:v>
      </x:c>
      <x:c r="R11" s="32" t="str">
        <x:v>Style-fit observation</x:v>
      </x:c>
      <x:c r="S11" s="32" t="str">
        <x:v>Avoid direct selling</x:v>
      </x:c>
      <x:c r="T11" s="32" t="str">
        <x:v>Medium</x:v>
      </x:c>
      <x:c r="U11" s="32" t="str">
        <x:v>Yes</x:v>
      </x:c>
      <x:c r="V11" s="55" t="str"/>
      <x:c r="W11" s="32" t="str">
        <x:v>Synthetic only</x:v>
      </x:c>
      <x:c r="X11" s="32" t="str">
        <x:v>Standard</x:v>
      </x:c>
      <x:c r="Y11" s="32" t="str">
        <x:v>Interview priority</x:v>
      </x:c>
      <x:c r="Z11" s="32" t="str">
        <x:v>KWG-3</x:v>
      </x:c>
      <x:c r="AA11" s="32" t="str">
        <x:v>ANGLE-07</x:v>
      </x:c>
      <x:c r="AB11" s="33" t="str">
        <x:v>No real catalog data</x:v>
      </x:c>
    </x:row>
    <x:row r="12">
      <x:c r="A12" s="31" t="str">
        <x:v>PROD-008</x:v>
      </x:c>
      <x:c r="B12" s="32" t="str">
        <x:v>กระดุมใสประกาย</x:v>
      </x:c>
      <x:c r="C12" s="32" t="str">
        <x:v>Clear Sparkle Button</x:v>
      </x:c>
      <x:c r="D12" s="32" t="str">
        <x:v>Fashion Buttons</x:v>
      </x:c>
      <x:c r="E12" s="32" t="str">
        <x:v>Subcategory 4</x:v>
      </x:c>
      <x:c r="F12" s="32" t="str">
        <x:v>Interview matching exercise</x:v>
      </x:c>
      <x:c r="G12" s="32" t="str">
        <x:v>Visual cue 8</x:v>
      </x:c>
      <x:c r="H12" s="32" t="str">
        <x:v>Regular</x:v>
      </x:c>
      <x:c r="I12" s="32" t="str">
        <x:v>Smart</x:v>
      </x:c>
      <x:c r="J12" s="32" t="str">
        <x:v>Travel</x:v>
      </x:c>
      <x:c r="K12" s="32" t="str">
        <x:v>Synthetic value 1</x:v>
      </x:c>
      <x:c r="L12" s="32" t="str">
        <x:v>Synthetic value 2</x:v>
      </x:c>
      <x:c r="M12" s="32" t="str">
        <x:v>Synthetic value 3</x:v>
      </x:c>
      <x:c r="N12" s="32" t="str">
        <x:v>Synthetic fabric</x:v>
      </x:c>
      <x:c r="O12" s="32" t="str">
        <x:v>Navy</x:v>
      </x:c>
      <x:c r="P12" s="32" t="str">
        <x:v>Collar / sleeve</x:v>
      </x:c>
      <x:c r="Q12" s="32" t="str">
        <x:v>Sensitive contexts</x:v>
      </x:c>
      <x:c r="R12" s="32" t="str">
        <x:v>Style-fit observation</x:v>
      </x:c>
      <x:c r="S12" s="32" t="str">
        <x:v>Avoid direct selling</x:v>
      </x:c>
      <x:c r="T12" s="32" t="str">
        <x:v>Medium</x:v>
      </x:c>
      <x:c r="U12" s="32" t="str">
        <x:v>Yes</x:v>
      </x:c>
      <x:c r="V12" s="55" t="str"/>
      <x:c r="W12" s="32" t="str">
        <x:v>Synthetic only</x:v>
      </x:c>
      <x:c r="X12" s="32" t="str">
        <x:v>Standard</x:v>
      </x:c>
      <x:c r="Y12" s="32" t="str">
        <x:v>Interview priority</x:v>
      </x:c>
      <x:c r="Z12" s="32" t="str">
        <x:v>KWG-4</x:v>
      </x:c>
      <x:c r="AA12" s="32" t="str">
        <x:v>ANGLE-08</x:v>
      </x:c>
      <x:c r="AB12" s="33" t="str">
        <x:v>No real catalog data</x:v>
      </x:c>
    </x:row>
    <x:row r="13">
      <x:c r="A13" s="31" t="str">
        <x:v>PROD-009</x:v>
      </x:c>
      <x:c r="B13" s="32" t="str">
        <x:v>กระดุมผ้าหุ้ม</x:v>
      </x:c>
      <x:c r="C13" s="32" t="str">
        <x:v>Fabric-covered Button</x:v>
      </x:c>
      <x:c r="D13" s="32" t="str">
        <x:v>Fashion Buttons</x:v>
      </x:c>
      <x:c r="E13" s="32" t="str">
        <x:v>Subcategory 1</x:v>
      </x:c>
      <x:c r="F13" s="32" t="str">
        <x:v>Interview matching exercise</x:v>
      </x:c>
      <x:c r="G13" s="32" t="str">
        <x:v>Visual cue 9</x:v>
      </x:c>
      <x:c r="H13" s="32" t="str">
        <x:v>Regular</x:v>
      </x:c>
      <x:c r="I13" s="32" t="str">
        <x:v>Casual</x:v>
      </x:c>
      <x:c r="J13" s="32" t="str">
        <x:v>Everyday</x:v>
      </x:c>
      <x:c r="K13" s="32" t="str">
        <x:v>Synthetic value 1</x:v>
      </x:c>
      <x:c r="L13" s="32" t="str">
        <x:v>Synthetic value 2</x:v>
      </x:c>
      <x:c r="M13" s="32" t="str">
        <x:v>Synthetic value 3</x:v>
      </x:c>
      <x:c r="N13" s="32" t="str">
        <x:v>Synthetic fabric</x:v>
      </x:c>
      <x:c r="O13" s="32" t="str">
        <x:v>Gray</x:v>
      </x:c>
      <x:c r="P13" s="32" t="str">
        <x:v>Collar / sleeve</x:v>
      </x:c>
      <x:c r="Q13" s="32" t="str">
        <x:v>Sensitive contexts</x:v>
      </x:c>
      <x:c r="R13" s="32" t="str">
        <x:v>Style-fit observation</x:v>
      </x:c>
      <x:c r="S13" s="32" t="str">
        <x:v>Avoid direct selling</x:v>
      </x:c>
      <x:c r="T13" s="32" t="str">
        <x:v>Medium</x:v>
      </x:c>
      <x:c r="U13" s="32" t="str">
        <x:v>Yes</x:v>
      </x:c>
      <x:c r="V13" s="55" t="str"/>
      <x:c r="W13" s="32" t="str">
        <x:v>Synthetic only</x:v>
      </x:c>
      <x:c r="X13" s="32" t="str">
        <x:v>Standard</x:v>
      </x:c>
      <x:c r="Y13" s="32" t="str">
        <x:v>Interview priority</x:v>
      </x:c>
      <x:c r="Z13" s="32" t="str">
        <x:v>KWG-1</x:v>
      </x:c>
      <x:c r="AA13" s="32" t="str">
        <x:v>ANGLE-09</x:v>
      </x:c>
      <x:c r="AB13" s="33" t="str">
        <x:v>No real catalog data</x:v>
      </x:c>
    </x:row>
    <x:row r="14">
      <x:c r="A14" s="31" t="str">
        <x:v>PROD-010</x:v>
      </x:c>
      <x:c r="B14" s="32" t="str">
        <x:v>กระดุมแม่เหล็กซ่อน</x:v>
      </x:c>
      <x:c r="C14" s="32" t="str">
        <x:v>Hidden Magnetic Button</x:v>
      </x:c>
      <x:c r="D14" s="32" t="str">
        <x:v>Fashion Buttons</x:v>
      </x:c>
      <x:c r="E14" s="32" t="str">
        <x:v>Subcategory 2</x:v>
      </x:c>
      <x:c r="F14" s="32" t="str">
        <x:v>Interview matching exercise</x:v>
      </x:c>
      <x:c r="G14" s="32" t="str">
        <x:v>Visual cue 10</x:v>
      </x:c>
      <x:c r="H14" s="32" t="str">
        <x:v>Regular</x:v>
      </x:c>
      <x:c r="I14" s="32" t="str">
        <x:v>Minimal</x:v>
      </x:c>
      <x:c r="J14" s="32" t="str">
        <x:v>Work</x:v>
      </x:c>
      <x:c r="K14" s="32" t="str">
        <x:v>Synthetic value 1</x:v>
      </x:c>
      <x:c r="L14" s="32" t="str">
        <x:v>Synthetic value 2</x:v>
      </x:c>
      <x:c r="M14" s="32" t="str">
        <x:v>Synthetic value 3</x:v>
      </x:c>
      <x:c r="N14" s="32" t="str">
        <x:v>Synthetic fabric</x:v>
      </x:c>
      <x:c r="O14" s="32" t="str">
        <x:v>White</x:v>
      </x:c>
      <x:c r="P14" s="32" t="str">
        <x:v>Collar / sleeve</x:v>
      </x:c>
      <x:c r="Q14" s="32" t="str">
        <x:v>Sensitive contexts</x:v>
      </x:c>
      <x:c r="R14" s="32" t="str">
        <x:v>Style-fit observation</x:v>
      </x:c>
      <x:c r="S14" s="32" t="str">
        <x:v>Avoid direct selling</x:v>
      </x:c>
      <x:c r="T14" s="32" t="str">
        <x:v>Medium</x:v>
      </x:c>
      <x:c r="U14" s="32" t="str">
        <x:v>Yes</x:v>
      </x:c>
      <x:c r="V14" s="55" t="str"/>
      <x:c r="W14" s="32" t="str">
        <x:v>Synthetic only</x:v>
      </x:c>
      <x:c r="X14" s="32" t="str">
        <x:v>Standard</x:v>
      </x:c>
      <x:c r="Y14" s="32" t="str">
        <x:v>Interview priority</x:v>
      </x:c>
      <x:c r="Z14" s="32" t="str">
        <x:v>KWG-2</x:v>
      </x:c>
      <x:c r="AA14" s="32" t="str">
        <x:v>ANGLE-10</x:v>
      </x:c>
      <x:c r="AB14" s="33" t="str">
        <x:v>No real catalog data</x:v>
      </x:c>
    </x:row>
    <x:row r="15">
      <x:c r="A15" s="31" t="str">
        <x:v>PROD-011</x:v>
      </x:c>
      <x:c r="B15" s="32" t="str">
        <x:v>กระดุมยีนส์เงิน</x:v>
      </x:c>
      <x:c r="C15" s="32" t="str">
        <x:v>Silver Jeans Button</x:v>
      </x:c>
      <x:c r="D15" s="32" t="str">
        <x:v>Fashion Buttons</x:v>
      </x:c>
      <x:c r="E15" s="32" t="str">
        <x:v>Subcategory 3</x:v>
      </x:c>
      <x:c r="F15" s="32" t="str">
        <x:v>Interview matching exercise</x:v>
      </x:c>
      <x:c r="G15" s="32" t="str">
        <x:v>Visual cue 11</x:v>
      </x:c>
      <x:c r="H15" s="32" t="str">
        <x:v>Regular</x:v>
      </x:c>
      <x:c r="I15" s="32" t="str">
        <x:v>Smart</x:v>
      </x:c>
      <x:c r="J15" s="32" t="str">
        <x:v>Travel</x:v>
      </x:c>
      <x:c r="K15" s="32" t="str">
        <x:v>Synthetic value 1</x:v>
      </x:c>
      <x:c r="L15" s="32" t="str">
        <x:v>Synthetic value 2</x:v>
      </x:c>
      <x:c r="M15" s="32" t="str">
        <x:v>Synthetic value 3</x:v>
      </x:c>
      <x:c r="N15" s="32" t="str">
        <x:v>Synthetic fabric</x:v>
      </x:c>
      <x:c r="O15" s="32" t="str">
        <x:v>Navy</x:v>
      </x:c>
      <x:c r="P15" s="32" t="str">
        <x:v>Collar / sleeve</x:v>
      </x:c>
      <x:c r="Q15" s="32" t="str">
        <x:v>Sensitive contexts</x:v>
      </x:c>
      <x:c r="R15" s="32" t="str">
        <x:v>Style-fit observation</x:v>
      </x:c>
      <x:c r="S15" s="32" t="str">
        <x:v>Avoid direct selling</x:v>
      </x:c>
      <x:c r="T15" s="32" t="str">
        <x:v>Medium</x:v>
      </x:c>
      <x:c r="U15" s="32" t="str">
        <x:v>Yes</x:v>
      </x:c>
      <x:c r="V15" s="55" t="str"/>
      <x:c r="W15" s="32" t="str">
        <x:v>Synthetic only</x:v>
      </x:c>
      <x:c r="X15" s="32" t="str">
        <x:v>Standard</x:v>
      </x:c>
      <x:c r="Y15" s="32" t="str">
        <x:v>Interview priority</x:v>
      </x:c>
      <x:c r="Z15" s="32" t="str">
        <x:v>KWG-3</x:v>
      </x:c>
      <x:c r="AA15" s="32" t="str">
        <x:v>ANGLE-01</x:v>
      </x:c>
      <x:c r="AB15" s="33" t="str">
        <x:v>No real catalog data</x:v>
      </x:c>
    </x:row>
    <x:row r="16">
      <x:c r="A16" s="34" t="str">
        <x:v>PROD-012</x:v>
      </x:c>
      <x:c r="B16" s="35" t="str">
        <x:v>กระดุมหัวกลมสีขาว</x:v>
      </x:c>
      <x:c r="C16" s="35" t="str">
        <x:v>White Dome Button</x:v>
      </x:c>
      <x:c r="D16" s="35" t="str">
        <x:v>Fashion Buttons</x:v>
      </x:c>
      <x:c r="E16" s="35" t="str">
        <x:v>Subcategory 4</x:v>
      </x:c>
      <x:c r="F16" s="35" t="str">
        <x:v>Interview matching exercise</x:v>
      </x:c>
      <x:c r="G16" s="35" t="str">
        <x:v>Visual cue 12</x:v>
      </x:c>
      <x:c r="H16" s="35" t="str">
        <x:v>Regular</x:v>
      </x:c>
      <x:c r="I16" s="35" t="str">
        <x:v>Casual</x:v>
      </x:c>
      <x:c r="J16" s="35" t="str">
        <x:v>Everyday</x:v>
      </x:c>
      <x:c r="K16" s="35" t="str">
        <x:v>Synthetic value 1</x:v>
      </x:c>
      <x:c r="L16" s="35" t="str">
        <x:v>Synthetic value 2</x:v>
      </x:c>
      <x:c r="M16" s="35" t="str">
        <x:v>Synthetic value 3</x:v>
      </x:c>
      <x:c r="N16" s="35" t="str">
        <x:v>Synthetic fabric</x:v>
      </x:c>
      <x:c r="O16" s="35" t="str">
        <x:v>Gray</x:v>
      </x:c>
      <x:c r="P16" s="35" t="str">
        <x:v>Collar / sleeve</x:v>
      </x:c>
      <x:c r="Q16" s="35" t="str">
        <x:v>Sensitive contexts</x:v>
      </x:c>
      <x:c r="R16" s="35" t="str">
        <x:v>Style-fit observation</x:v>
      </x:c>
      <x:c r="S16" s="35" t="str">
        <x:v>Avoid direct selling</x:v>
      </x:c>
      <x:c r="T16" s="35" t="str">
        <x:v>Medium</x:v>
      </x:c>
      <x:c r="U16" s="35" t="str">
        <x:v>Yes</x:v>
      </x:c>
      <x:c r="V16" s="56" t="str"/>
      <x:c r="W16" s="35" t="str">
        <x:v>Synthetic only</x:v>
      </x:c>
      <x:c r="X16" s="35" t="str">
        <x:v>Standard</x:v>
      </x:c>
      <x:c r="Y16" s="35" t="str">
        <x:v>Interview priority</x:v>
      </x:c>
      <x:c r="Z16" s="35" t="str">
        <x:v>KWG-4</x:v>
      </x:c>
      <x:c r="AA16" s="35" t="str">
        <x:v>ANGLE-02</x:v>
      </x:c>
      <x:c r="AB16" s="36" t="str">
        <x:v>No real catalog data</x:v>
      </x:c>
    </x:row>
  </x:sheetData>
  <x:mergeCells>
    <x:mergeCell ref="A1:H1"/>
    <x:mergeCell ref="A2:H2"/>
  </x:mergeCells>
  <x:dataValidations count="1">
    <x:dataValidation type="list" sqref="U5:U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3695cc454e44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8" customHeight="1">
      <x:c r="A1" s="3" t="str">
        <x:v>Keyword Bank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keyword records for advanced allocation and safety checks.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Keyword ID</x:v>
      </x:c>
      <x:c r="B4" s="16" t="str">
        <x:v>Keyword</x:v>
      </x:c>
      <x:c r="C4" s="16" t="str">
        <x:v>Language</x:v>
      </x:c>
      <x:c r="D4" s="16" t="str">
        <x:v>Keyword Group</x:v>
      </x:c>
      <x:c r="E4" s="16" t="str">
        <x:v>Search Intent</x:v>
      </x:c>
      <x:c r="F4" s="16" t="str">
        <x:v>Related Product ID</x:v>
      </x:c>
      <x:c r="G4" s="16" t="str">
        <x:v>Related Product Category</x:v>
      </x:c>
      <x:c r="H4" s="16" t="str">
        <x:v>Related Style</x:v>
      </x:c>
      <x:c r="I4" s="16" t="str">
        <x:v>Related Occasion</x:v>
      </x:c>
      <x:c r="J4" s="16" t="str">
        <x:v>Relevance Level</x:v>
      </x:c>
      <x:c r="K4" s="16" t="str">
        <x:v>Target Gender</x:v>
      </x:c>
      <x:c r="L4" s="16" t="str">
        <x:v>Use For Shortlist</x:v>
      </x:c>
      <x:c r="M4" s="16" t="str">
        <x:v>Avoid If</x:v>
      </x:c>
      <x:c r="N4" s="16" t="str">
        <x:v>Platform Note</x:v>
      </x:c>
      <x:c r="O4" s="16" t="str">
        <x:v>Status</x:v>
      </x:c>
      <x:c r="P4" s="17" t="str">
        <x:v>Notes</x:v>
      </x:c>
    </x:row>
    <x:row r="5">
      <x:c r="A5" s="28" t="str">
        <x:v>KW-001</x:v>
      </x:c>
      <x:c r="B5" s="29" t="str">
        <x:v>synthetic_keyword_1</x:v>
      </x:c>
      <x:c r="C5" s="29" t="str">
        <x:v>EN</x:v>
      </x:c>
      <x:c r="D5" s="29" t="str">
        <x:v>KWG-1</x:v>
      </x:c>
      <x:c r="E5" s="29" t="str">
        <x:v>Discover</x:v>
      </x:c>
      <x:c r="F5" s="29" t="str">
        <x:v>PROD-001</x:v>
      </x:c>
      <x:c r="G5" s="29" t="str">
        <x:v>Shirt</x:v>
      </x:c>
      <x:c r="H5" s="29" t="str">
        <x:v>Minimal</x:v>
      </x:c>
      <x:c r="I5" s="29" t="str">
        <x:v>Work</x:v>
      </x:c>
      <x:c r="J5" s="29" t="str">
        <x:v>High</x:v>
      </x:c>
      <x:c r="K5" s="29" t="str">
        <x:v>All</x:v>
      </x:c>
      <x:c r="L5" s="29" t="str">
        <x:v>Yes</x:v>
      </x:c>
      <x:c r="M5" s="29" t="str">
        <x:v>Sensitive context</x:v>
      </x:c>
      <x:c r="N5" s="29" t="str">
        <x:v>Synthetic keyword only</x:v>
      </x:c>
      <x:c r="O5" s="29" t="str">
        <x:v>Active</x:v>
      </x:c>
      <x:c r="P5" s="30" t="str">
        <x:v>No real search terms</x:v>
      </x:c>
    </x:row>
    <x:row r="6">
      <x:c r="A6" s="31" t="str">
        <x:v>KW-002</x:v>
      </x:c>
      <x:c r="B6" s="32" t="str">
        <x:v>synthetic_keyword_2</x:v>
      </x:c>
      <x:c r="C6" s="32" t="str">
        <x:v>TH</x:v>
      </x:c>
      <x:c r="D6" s="32" t="str">
        <x:v>KWG-2</x:v>
      </x:c>
      <x:c r="E6" s="32" t="str">
        <x:v>Compare</x:v>
      </x:c>
      <x:c r="F6" s="32" t="str">
        <x:v>PROD-002</x:v>
      </x:c>
      <x:c r="G6" s="32" t="str">
        <x:v>Polo</x:v>
      </x:c>
      <x:c r="H6" s="32" t="str">
        <x:v>Smart</x:v>
      </x:c>
      <x:c r="I6" s="32" t="str">
        <x:v>Travel</x:v>
      </x:c>
      <x:c r="J6" s="32" t="str">
        <x:v>High</x:v>
      </x:c>
      <x:c r="K6" s="32" t="str">
        <x:v>All</x:v>
      </x:c>
      <x:c r="L6" s="32" t="str">
        <x:v>Yes</x:v>
      </x:c>
      <x:c r="M6" s="32" t="str">
        <x:v>Sensitive context</x:v>
      </x:c>
      <x:c r="N6" s="32" t="str">
        <x:v>Synthetic keyword only</x:v>
      </x:c>
      <x:c r="O6" s="32" t="str">
        <x:v>Active</x:v>
      </x:c>
      <x:c r="P6" s="33" t="str">
        <x:v>No real search terms</x:v>
      </x:c>
    </x:row>
    <x:row r="7">
      <x:c r="A7" s="31" t="str">
        <x:v>KW-003</x:v>
      </x:c>
      <x:c r="B7" s="32" t="str">
        <x:v>synthetic_keyword_3</x:v>
      </x:c>
      <x:c r="C7" s="32" t="str">
        <x:v>TH</x:v>
      </x:c>
      <x:c r="D7" s="32" t="str">
        <x:v>KWG-3</x:v>
      </x:c>
      <x:c r="E7" s="32" t="str">
        <x:v>Style</x:v>
      </x:c>
      <x:c r="F7" s="32" t="str">
        <x:v>PROD-003</x:v>
      </x:c>
      <x:c r="G7" s="32" t="str">
        <x:v>Outerwear</x:v>
      </x:c>
      <x:c r="H7" s="32" t="str">
        <x:v>Casual</x:v>
      </x:c>
      <x:c r="I7" s="32" t="str">
        <x:v>Everyday</x:v>
      </x:c>
      <x:c r="J7" s="32" t="str">
        <x:v>High</x:v>
      </x:c>
      <x:c r="K7" s="32" t="str">
        <x:v>All</x:v>
      </x:c>
      <x:c r="L7" s="32" t="str">
        <x:v>Yes</x:v>
      </x:c>
      <x:c r="M7" s="32" t="str">
        <x:v>Sensitive context</x:v>
      </x:c>
      <x:c r="N7" s="32" t="str">
        <x:v>Synthetic keyword only</x:v>
      </x:c>
      <x:c r="O7" s="32" t="str">
        <x:v>Active</x:v>
      </x:c>
      <x:c r="P7" s="33" t="str">
        <x:v>No real search terms</x:v>
      </x:c>
    </x:row>
    <x:row r="8">
      <x:c r="A8" s="31" t="str">
        <x:v>KW-004</x:v>
      </x:c>
      <x:c r="B8" s="32" t="str">
        <x:v>synthetic_keyword_4</x:v>
      </x:c>
      <x:c r="C8" s="32" t="str">
        <x:v>EN</x:v>
      </x:c>
      <x:c r="D8" s="32" t="str">
        <x:v>KWG-4</x:v>
      </x:c>
      <x:c r="E8" s="32" t="str">
        <x:v>Discover</x:v>
      </x:c>
      <x:c r="F8" s="32" t="str">
        <x:v>PROD-004</x:v>
      </x:c>
      <x:c r="G8" s="32" t="str">
        <x:v>Shirt</x:v>
      </x:c>
      <x:c r="H8" s="32" t="str">
        <x:v>Minimal</x:v>
      </x:c>
      <x:c r="I8" s="32" t="str">
        <x:v>Work</x:v>
      </x:c>
      <x:c r="J8" s="32" t="str">
        <x:v>High</x:v>
      </x:c>
      <x:c r="K8" s="32" t="str">
        <x:v>All</x:v>
      </x:c>
      <x:c r="L8" s="32" t="str">
        <x:v>Yes</x:v>
      </x:c>
      <x:c r="M8" s="32" t="str">
        <x:v>Sensitive context</x:v>
      </x:c>
      <x:c r="N8" s="32" t="str">
        <x:v>Synthetic keyword only</x:v>
      </x:c>
      <x:c r="O8" s="32" t="str">
        <x:v>Active</x:v>
      </x:c>
      <x:c r="P8" s="33" t="str">
        <x:v>No real search terms</x:v>
      </x:c>
    </x:row>
    <x:row r="9">
      <x:c r="A9" s="31" t="str">
        <x:v>KW-005</x:v>
      </x:c>
      <x:c r="B9" s="32" t="str">
        <x:v>synthetic_keyword_5</x:v>
      </x:c>
      <x:c r="C9" s="32" t="str">
        <x:v>TH</x:v>
      </x:c>
      <x:c r="D9" s="32" t="str">
        <x:v>KWG-1</x:v>
      </x:c>
      <x:c r="E9" s="32" t="str">
        <x:v>Compare</x:v>
      </x:c>
      <x:c r="F9" s="32" t="str">
        <x:v>PROD-005</x:v>
      </x:c>
      <x:c r="G9" s="32" t="str">
        <x:v>Polo</x:v>
      </x:c>
      <x:c r="H9" s="32" t="str">
        <x:v>Smart</x:v>
      </x:c>
      <x:c r="I9" s="32" t="str">
        <x:v>Travel</x:v>
      </x:c>
      <x:c r="J9" s="32" t="str">
        <x:v>High</x:v>
      </x:c>
      <x:c r="K9" s="32" t="str">
        <x:v>All</x:v>
      </x:c>
      <x:c r="L9" s="32" t="str">
        <x:v>Yes</x:v>
      </x:c>
      <x:c r="M9" s="32" t="str">
        <x:v>Sensitive context</x:v>
      </x:c>
      <x:c r="N9" s="32" t="str">
        <x:v>Synthetic keyword only</x:v>
      </x:c>
      <x:c r="O9" s="32" t="str">
        <x:v>Active</x:v>
      </x:c>
      <x:c r="P9" s="33" t="str">
        <x:v>No real search terms</x:v>
      </x:c>
    </x:row>
    <x:row r="10">
      <x:c r="A10" s="31" t="str">
        <x:v>KW-006</x:v>
      </x:c>
      <x:c r="B10" s="32" t="str">
        <x:v>synthetic_keyword_6</x:v>
      </x:c>
      <x:c r="C10" s="32" t="str">
        <x:v>TH</x:v>
      </x:c>
      <x:c r="D10" s="32" t="str">
        <x:v>KWG-2</x:v>
      </x:c>
      <x:c r="E10" s="32" t="str">
        <x:v>Style</x:v>
      </x:c>
      <x:c r="F10" s="32" t="str">
        <x:v>PROD-006</x:v>
      </x:c>
      <x:c r="G10" s="32" t="str">
        <x:v>Outerwear</x:v>
      </x:c>
      <x:c r="H10" s="32" t="str">
        <x:v>Casual</x:v>
      </x:c>
      <x:c r="I10" s="32" t="str">
        <x:v>Everyday</x:v>
      </x:c>
      <x:c r="J10" s="32" t="str">
        <x:v>High</x:v>
      </x:c>
      <x:c r="K10" s="32" t="str">
        <x:v>All</x:v>
      </x:c>
      <x:c r="L10" s="32" t="str">
        <x:v>Yes</x:v>
      </x:c>
      <x:c r="M10" s="32" t="str">
        <x:v>Sensitive context</x:v>
      </x:c>
      <x:c r="N10" s="32" t="str">
        <x:v>Synthetic keyword only</x:v>
      </x:c>
      <x:c r="O10" s="32" t="str">
        <x:v>Active</x:v>
      </x:c>
      <x:c r="P10" s="33" t="str">
        <x:v>No real search terms</x:v>
      </x:c>
    </x:row>
    <x:row r="11">
      <x:c r="A11" s="31" t="str">
        <x:v>KW-007</x:v>
      </x:c>
      <x:c r="B11" s="32" t="str">
        <x:v>synthetic_keyword_7</x:v>
      </x:c>
      <x:c r="C11" s="32" t="str">
        <x:v>EN</x:v>
      </x:c>
      <x:c r="D11" s="32" t="str">
        <x:v>KWG-3</x:v>
      </x:c>
      <x:c r="E11" s="32" t="str">
        <x:v>Discover</x:v>
      </x:c>
      <x:c r="F11" s="32" t="str">
        <x:v>PROD-007</x:v>
      </x:c>
      <x:c r="G11" s="32" t="str">
        <x:v>Shirt</x:v>
      </x:c>
      <x:c r="H11" s="32" t="str">
        <x:v>Minimal</x:v>
      </x:c>
      <x:c r="I11" s="32" t="str">
        <x:v>Work</x:v>
      </x:c>
      <x:c r="J11" s="32" t="str">
        <x:v>Medium</x:v>
      </x:c>
      <x:c r="K11" s="32" t="str">
        <x:v>All</x:v>
      </x:c>
      <x:c r="L11" s="32" t="str">
        <x:v>Yes</x:v>
      </x:c>
      <x:c r="M11" s="32" t="str">
        <x:v>Sensitive context</x:v>
      </x:c>
      <x:c r="N11" s="32" t="str">
        <x:v>Synthetic keyword only</x:v>
      </x:c>
      <x:c r="O11" s="32" t="str">
        <x:v>Active</x:v>
      </x:c>
      <x:c r="P11" s="33" t="str">
        <x:v>No real search terms</x:v>
      </x:c>
    </x:row>
    <x:row r="12">
      <x:c r="A12" s="31" t="str">
        <x:v>KW-008</x:v>
      </x:c>
      <x:c r="B12" s="32" t="str">
        <x:v>synthetic_keyword_8</x:v>
      </x:c>
      <x:c r="C12" s="32" t="str">
        <x:v>TH</x:v>
      </x:c>
      <x:c r="D12" s="32" t="str">
        <x:v>KWG-4</x:v>
      </x:c>
      <x:c r="E12" s="32" t="str">
        <x:v>Compare</x:v>
      </x:c>
      <x:c r="F12" s="32" t="str">
        <x:v>PROD-008</x:v>
      </x:c>
      <x:c r="G12" s="32" t="str">
        <x:v>Polo</x:v>
      </x:c>
      <x:c r="H12" s="32" t="str">
        <x:v>Smart</x:v>
      </x:c>
      <x:c r="I12" s="32" t="str">
        <x:v>Travel</x:v>
      </x:c>
      <x:c r="J12" s="32" t="str">
        <x:v>Medium</x:v>
      </x:c>
      <x:c r="K12" s="32" t="str">
        <x:v>All</x:v>
      </x:c>
      <x:c r="L12" s="32" t="str">
        <x:v>Yes</x:v>
      </x:c>
      <x:c r="M12" s="32" t="str">
        <x:v>Sensitive context</x:v>
      </x:c>
      <x:c r="N12" s="32" t="str">
        <x:v>Synthetic keyword only</x:v>
      </x:c>
      <x:c r="O12" s="32" t="str">
        <x:v>Active</x:v>
      </x:c>
      <x:c r="P12" s="33" t="str">
        <x:v>No real search terms</x:v>
      </x:c>
    </x:row>
    <x:row r="13">
      <x:c r="A13" s="31" t="str">
        <x:v>KW-009</x:v>
      </x:c>
      <x:c r="B13" s="32" t="str">
        <x:v>synthetic_keyword_9</x:v>
      </x:c>
      <x:c r="C13" s="32" t="str">
        <x:v>TH</x:v>
      </x:c>
      <x:c r="D13" s="32" t="str">
        <x:v>KWG-1</x:v>
      </x:c>
      <x:c r="E13" s="32" t="str">
        <x:v>Style</x:v>
      </x:c>
      <x:c r="F13" s="32" t="str">
        <x:v>PROD-009</x:v>
      </x:c>
      <x:c r="G13" s="32" t="str">
        <x:v>Outerwear</x:v>
      </x:c>
      <x:c r="H13" s="32" t="str">
        <x:v>Casual</x:v>
      </x:c>
      <x:c r="I13" s="32" t="str">
        <x:v>Everyday</x:v>
      </x:c>
      <x:c r="J13" s="32" t="str">
        <x:v>Medium</x:v>
      </x:c>
      <x:c r="K13" s="32" t="str">
        <x:v>All</x:v>
      </x:c>
      <x:c r="L13" s="32" t="str">
        <x:v>Yes</x:v>
      </x:c>
      <x:c r="M13" s="32" t="str">
        <x:v>Sensitive context</x:v>
      </x:c>
      <x:c r="N13" s="32" t="str">
        <x:v>Synthetic keyword only</x:v>
      </x:c>
      <x:c r="O13" s="32" t="str">
        <x:v>Active</x:v>
      </x:c>
      <x:c r="P13" s="33" t="str">
        <x:v>No real search terms</x:v>
      </x:c>
    </x:row>
    <x:row r="14">
      <x:c r="A14" s="31" t="str">
        <x:v>KW-010</x:v>
      </x:c>
      <x:c r="B14" s="32" t="str">
        <x:v>synthetic_keyword_10</x:v>
      </x:c>
      <x:c r="C14" s="32" t="str">
        <x:v>EN</x:v>
      </x:c>
      <x:c r="D14" s="32" t="str">
        <x:v>KWG-2</x:v>
      </x:c>
      <x:c r="E14" s="32" t="str">
        <x:v>Discover</x:v>
      </x:c>
      <x:c r="F14" s="32" t="str">
        <x:v>PROD-010</x:v>
      </x:c>
      <x:c r="G14" s="32" t="str">
        <x:v>Shirt</x:v>
      </x:c>
      <x:c r="H14" s="32" t="str">
        <x:v>Minimal</x:v>
      </x:c>
      <x:c r="I14" s="32" t="str">
        <x:v>Work</x:v>
      </x:c>
      <x:c r="J14" s="32" t="str">
        <x:v>Medium</x:v>
      </x:c>
      <x:c r="K14" s="32" t="str">
        <x:v>All</x:v>
      </x:c>
      <x:c r="L14" s="32" t="str">
        <x:v>Yes</x:v>
      </x:c>
      <x:c r="M14" s="32" t="str">
        <x:v>Sensitive context</x:v>
      </x:c>
      <x:c r="N14" s="32" t="str">
        <x:v>Synthetic keyword only</x:v>
      </x:c>
      <x:c r="O14" s="32" t="str">
        <x:v>Active</x:v>
      </x:c>
      <x:c r="P14" s="33" t="str">
        <x:v>No real search terms</x:v>
      </x:c>
    </x:row>
    <x:row r="15">
      <x:c r="A15" s="31" t="str">
        <x:v>KW-011</x:v>
      </x:c>
      <x:c r="B15" s="32" t="str">
        <x:v>synthetic_keyword_11</x:v>
      </x:c>
      <x:c r="C15" s="32" t="str">
        <x:v>TH</x:v>
      </x:c>
      <x:c r="D15" s="32" t="str">
        <x:v>KWG-3</x:v>
      </x:c>
      <x:c r="E15" s="32" t="str">
        <x:v>Compare</x:v>
      </x:c>
      <x:c r="F15" s="32" t="str">
        <x:v>PROD-011</x:v>
      </x:c>
      <x:c r="G15" s="32" t="str">
        <x:v>Polo</x:v>
      </x:c>
      <x:c r="H15" s="32" t="str">
        <x:v>Smart</x:v>
      </x:c>
      <x:c r="I15" s="32" t="str">
        <x:v>Travel</x:v>
      </x:c>
      <x:c r="J15" s="32" t="str">
        <x:v>Medium</x:v>
      </x:c>
      <x:c r="K15" s="32" t="str">
        <x:v>All</x:v>
      </x:c>
      <x:c r="L15" s="32" t="str">
        <x:v>Yes</x:v>
      </x:c>
      <x:c r="M15" s="32" t="str">
        <x:v>Sensitive context</x:v>
      </x:c>
      <x:c r="N15" s="32" t="str">
        <x:v>Synthetic keyword only</x:v>
      </x:c>
      <x:c r="O15" s="32" t="str">
        <x:v>Active</x:v>
      </x:c>
      <x:c r="P15" s="33" t="str">
        <x:v>No real search terms</x:v>
      </x:c>
    </x:row>
    <x:row r="16">
      <x:c r="A16" s="31" t="str">
        <x:v>KW-012</x:v>
      </x:c>
      <x:c r="B16" s="32" t="str">
        <x:v>synthetic_keyword_12</x:v>
      </x:c>
      <x:c r="C16" s="32" t="str">
        <x:v>TH</x:v>
      </x:c>
      <x:c r="D16" s="32" t="str">
        <x:v>KWG-4</x:v>
      </x:c>
      <x:c r="E16" s="32" t="str">
        <x:v>Style</x:v>
      </x:c>
      <x:c r="F16" s="32" t="str">
        <x:v>PROD-012</x:v>
      </x:c>
      <x:c r="G16" s="32" t="str">
        <x:v>Outerwear</x:v>
      </x:c>
      <x:c r="H16" s="32" t="str">
        <x:v>Casual</x:v>
      </x:c>
      <x:c r="I16" s="32" t="str">
        <x:v>Everyday</x:v>
      </x:c>
      <x:c r="J16" s="32" t="str">
        <x:v>Medium</x:v>
      </x:c>
      <x:c r="K16" s="32" t="str">
        <x:v>All</x:v>
      </x:c>
      <x:c r="L16" s="32" t="str">
        <x:v>Yes</x:v>
      </x:c>
      <x:c r="M16" s="32" t="str">
        <x:v>Sensitive context</x:v>
      </x:c>
      <x:c r="N16" s="32" t="str">
        <x:v>Synthetic keyword only</x:v>
      </x:c>
      <x:c r="O16" s="32" t="str">
        <x:v>Active</x:v>
      </x:c>
      <x:c r="P16" s="33" t="str">
        <x:v>No real search terms</x:v>
      </x:c>
    </x:row>
    <x:row r="17">
      <x:c r="A17" s="31" t="str">
        <x:v>KW-013</x:v>
      </x:c>
      <x:c r="B17" s="32" t="str">
        <x:v>synthetic_keyword_13</x:v>
      </x:c>
      <x:c r="C17" s="32" t="str">
        <x:v>EN</x:v>
      </x:c>
      <x:c r="D17" s="32" t="str">
        <x:v>KWG-1</x:v>
      </x:c>
      <x:c r="E17" s="32" t="str">
        <x:v>Discover</x:v>
      </x:c>
      <x:c r="F17" s="32" t="str">
        <x:v>PROD-001</x:v>
      </x:c>
      <x:c r="G17" s="32" t="str">
        <x:v>Shirt</x:v>
      </x:c>
      <x:c r="H17" s="32" t="str">
        <x:v>Minimal</x:v>
      </x:c>
      <x:c r="I17" s="32" t="str">
        <x:v>Work</x:v>
      </x:c>
      <x:c r="J17" s="32" t="str">
        <x:v>Medium</x:v>
      </x:c>
      <x:c r="K17" s="32" t="str">
        <x:v>All</x:v>
      </x:c>
      <x:c r="L17" s="32" t="str">
        <x:v>Yes</x:v>
      </x:c>
      <x:c r="M17" s="32" t="str">
        <x:v>Sensitive context</x:v>
      </x:c>
      <x:c r="N17" s="32" t="str">
        <x:v>Synthetic keyword only</x:v>
      </x:c>
      <x:c r="O17" s="32" t="str">
        <x:v>Active</x:v>
      </x:c>
      <x:c r="P17" s="33" t="str">
        <x:v>No real search terms</x:v>
      </x:c>
    </x:row>
    <x:row r="18">
      <x:c r="A18" s="31" t="str">
        <x:v>KW-014</x:v>
      </x:c>
      <x:c r="B18" s="32" t="str">
        <x:v>synthetic_keyword_14</x:v>
      </x:c>
      <x:c r="C18" s="32" t="str">
        <x:v>TH</x:v>
      </x:c>
      <x:c r="D18" s="32" t="str">
        <x:v>KWG-2</x:v>
      </x:c>
      <x:c r="E18" s="32" t="str">
        <x:v>Compare</x:v>
      </x:c>
      <x:c r="F18" s="32" t="str">
        <x:v>PROD-002</x:v>
      </x:c>
      <x:c r="G18" s="32" t="str">
        <x:v>Polo</x:v>
      </x:c>
      <x:c r="H18" s="32" t="str">
        <x:v>Smart</x:v>
      </x:c>
      <x:c r="I18" s="32" t="str">
        <x:v>Travel</x:v>
      </x:c>
      <x:c r="J18" s="32" t="str">
        <x:v>Medium</x:v>
      </x:c>
      <x:c r="K18" s="32" t="str">
        <x:v>All</x:v>
      </x:c>
      <x:c r="L18" s="32" t="str">
        <x:v>Yes</x:v>
      </x:c>
      <x:c r="M18" s="32" t="str">
        <x:v>Sensitive context</x:v>
      </x:c>
      <x:c r="N18" s="32" t="str">
        <x:v>Synthetic keyword only</x:v>
      </x:c>
      <x:c r="O18" s="32" t="str">
        <x:v>Active</x:v>
      </x:c>
      <x:c r="P18" s="33" t="str">
        <x:v>No real search terms</x:v>
      </x:c>
    </x:row>
    <x:row r="19">
      <x:c r="A19" s="31" t="str">
        <x:v>KW-015</x:v>
      </x:c>
      <x:c r="B19" s="32" t="str">
        <x:v>synthetic_keyword_15</x:v>
      </x:c>
      <x:c r="C19" s="32" t="str">
        <x:v>TH</x:v>
      </x:c>
      <x:c r="D19" s="32" t="str">
        <x:v>KWG-3</x:v>
      </x:c>
      <x:c r="E19" s="32" t="str">
        <x:v>Style</x:v>
      </x:c>
      <x:c r="F19" s="32" t="str">
        <x:v>PROD-003</x:v>
      </x:c>
      <x:c r="G19" s="32" t="str">
        <x:v>Outerwear</x:v>
      </x:c>
      <x:c r="H19" s="32" t="str">
        <x:v>Casual</x:v>
      </x:c>
      <x:c r="I19" s="32" t="str">
        <x:v>Everyday</x:v>
      </x:c>
      <x:c r="J19" s="32" t="str">
        <x:v>Medium</x:v>
      </x:c>
      <x:c r="K19" s="32" t="str">
        <x:v>All</x:v>
      </x:c>
      <x:c r="L19" s="32" t="str">
        <x:v>Yes</x:v>
      </x:c>
      <x:c r="M19" s="32" t="str">
        <x:v>Sensitive context</x:v>
      </x:c>
      <x:c r="N19" s="32" t="str">
        <x:v>Synthetic keyword only</x:v>
      </x:c>
      <x:c r="O19" s="32" t="str">
        <x:v>Active</x:v>
      </x:c>
      <x:c r="P19" s="33" t="str">
        <x:v>No real search terms</x:v>
      </x:c>
    </x:row>
    <x:row r="20">
      <x:c r="A20" s="31" t="str">
        <x:v>KW-016</x:v>
      </x:c>
      <x:c r="B20" s="32" t="str">
        <x:v>synthetic_keyword_16</x:v>
      </x:c>
      <x:c r="C20" s="32" t="str">
        <x:v>EN</x:v>
      </x:c>
      <x:c r="D20" s="32" t="str">
        <x:v>KWG-4</x:v>
      </x:c>
      <x:c r="E20" s="32" t="str">
        <x:v>Discover</x:v>
      </x:c>
      <x:c r="F20" s="32" t="str">
        <x:v>PROD-004</x:v>
      </x:c>
      <x:c r="G20" s="32" t="str">
        <x:v>Shirt</x:v>
      </x:c>
      <x:c r="H20" s="32" t="str">
        <x:v>Minimal</x:v>
      </x:c>
      <x:c r="I20" s="32" t="str">
        <x:v>Work</x:v>
      </x:c>
      <x:c r="J20" s="32" t="str">
        <x:v>Medium</x:v>
      </x:c>
      <x:c r="K20" s="32" t="str">
        <x:v>All</x:v>
      </x:c>
      <x:c r="L20" s="32" t="str">
        <x:v>Yes</x:v>
      </x:c>
      <x:c r="M20" s="32" t="str">
        <x:v>Sensitive context</x:v>
      </x:c>
      <x:c r="N20" s="32" t="str">
        <x:v>Synthetic keyword only</x:v>
      </x:c>
      <x:c r="O20" s="32" t="str">
        <x:v>Active</x:v>
      </x:c>
      <x:c r="P20" s="33" t="str">
        <x:v>No real search terms</x:v>
      </x:c>
    </x:row>
    <x:row r="21">
      <x:c r="A21" s="31" t="str">
        <x:v>KW-017</x:v>
      </x:c>
      <x:c r="B21" s="32" t="str">
        <x:v>synthetic_keyword_17</x:v>
      </x:c>
      <x:c r="C21" s="32" t="str">
        <x:v>TH</x:v>
      </x:c>
      <x:c r="D21" s="32" t="str">
        <x:v>KWG-1</x:v>
      </x:c>
      <x:c r="E21" s="32" t="str">
        <x:v>Compare</x:v>
      </x:c>
      <x:c r="F21" s="32" t="str">
        <x:v>PROD-005</x:v>
      </x:c>
      <x:c r="G21" s="32" t="str">
        <x:v>Polo</x:v>
      </x:c>
      <x:c r="H21" s="32" t="str">
        <x:v>Smart</x:v>
      </x:c>
      <x:c r="I21" s="32" t="str">
        <x:v>Travel</x:v>
      </x:c>
      <x:c r="J21" s="32" t="str">
        <x:v>Medium</x:v>
      </x:c>
      <x:c r="K21" s="32" t="str">
        <x:v>All</x:v>
      </x:c>
      <x:c r="L21" s="32" t="str">
        <x:v>Yes</x:v>
      </x:c>
      <x:c r="M21" s="32" t="str">
        <x:v>Sensitive context</x:v>
      </x:c>
      <x:c r="N21" s="32" t="str">
        <x:v>Synthetic keyword only</x:v>
      </x:c>
      <x:c r="O21" s="32" t="str">
        <x:v>Active</x:v>
      </x:c>
      <x:c r="P21" s="33" t="str">
        <x:v>No real search terms</x:v>
      </x:c>
    </x:row>
    <x:row r="22">
      <x:c r="A22" s="34" t="str">
        <x:v>KW-018</x:v>
      </x:c>
      <x:c r="B22" s="35" t="str">
        <x:v>synthetic_keyword_18</x:v>
      </x:c>
      <x:c r="C22" s="35" t="str">
        <x:v>TH</x:v>
      </x:c>
      <x:c r="D22" s="35" t="str">
        <x:v>KWG-2</x:v>
      </x:c>
      <x:c r="E22" s="35" t="str">
        <x:v>Style</x:v>
      </x:c>
      <x:c r="F22" s="35" t="str">
        <x:v>PROD-006</x:v>
      </x:c>
      <x:c r="G22" s="35" t="str">
        <x:v>Outerwear</x:v>
      </x:c>
      <x:c r="H22" s="35" t="str">
        <x:v>Casual</x:v>
      </x:c>
      <x:c r="I22" s="35" t="str">
        <x:v>Everyday</x:v>
      </x:c>
      <x:c r="J22" s="35" t="str">
        <x:v>Medium</x:v>
      </x:c>
      <x:c r="K22" s="35" t="str">
        <x:v>All</x:v>
      </x:c>
      <x:c r="L22" s="35" t="str">
        <x:v>Yes</x:v>
      </x:c>
      <x:c r="M22" s="35" t="str">
        <x:v>Sensitive context</x:v>
      </x:c>
      <x:c r="N22" s="35" t="str">
        <x:v>Synthetic keyword only</x:v>
      </x:c>
      <x:c r="O22" s="35" t="str">
        <x:v>Active</x:v>
      </x:c>
      <x:c r="P22" s="36" t="str">
        <x:v>No real search terms</x:v>
      </x:c>
    </x:row>
  </x:sheetData>
  <x:mergeCells>
    <x:mergeCell ref="A1:H1"/>
    <x:mergeCell ref="A2:H2"/>
  </x:mergeCells>
  <x:dataValidations count="1">
    <x:dataValidation type="list" sqref="O5:O22">
      <x:formula1>"Active,Inactive,Review"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b3fbfba6d14eb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 ht="28" customHeight="1">
      <x:c r="A1" s="3" t="str">
        <x:v>Comment Angle Bank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comment-angle framework. Examples are invented for this interview only.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Angle ID</x:v>
      </x:c>
      <x:c r="B4" s="16" t="str">
        <x:v>Angle Name</x:v>
      </x:c>
      <x:c r="C4" s="16" t="str">
        <x:v>Message Type</x:v>
      </x:c>
      <x:c r="D4" s="16" t="str">
        <x:v>Intent</x:v>
      </x:c>
      <x:c r="E4" s="16" t="str">
        <x:v>Best For Video Group</x:v>
      </x:c>
      <x:c r="F4" s="16" t="str">
        <x:v>Best For Style</x:v>
      </x:c>
      <x:c r="G4" s="16" t="str">
        <x:v>Best For Product ID</x:v>
      </x:c>
      <x:c r="H4" s="16" t="str">
        <x:v>Best For Product Fit</x:v>
      </x:c>
      <x:c r="I4" s="16" t="str">
        <x:v>Trigger Condition</x:v>
      </x:c>
      <x:c r="J4" s="16" t="str">
        <x:v>Comment Structure</x:v>
      </x:c>
      <x:c r="K4" s="16" t="str">
        <x:v>Safe Example TH</x:v>
      </x:c>
      <x:c r="L4" s="16" t="str">
        <x:v>Soft Mention Allowed</x:v>
      </x:c>
      <x:c r="M4" s="16" t="str">
        <x:v>Image Recommended</x:v>
      </x:c>
      <x:c r="N4" s="16" t="str">
        <x:v>Risk Level</x:v>
      </x:c>
      <x:c r="O4" s="16" t="str">
        <x:v>Avoid When</x:v>
      </x:c>
      <x:c r="P4" s="16" t="str">
        <x:v>Approval Needed</x:v>
      </x:c>
      <x:c r="Q4" s="16" t="str">
        <x:v>Active</x:v>
      </x:c>
      <x:c r="R4" s="16" t="str">
        <x:v>Notes</x:v>
      </x:c>
      <x:c r="S4" s="16" t="str">
        <x:v>Product-Specific Example TH</x:v>
      </x:c>
      <x:c r="T4" s="16" t="str">
        <x:v>Reply / Lead Example TH</x:v>
      </x:c>
      <x:c r="U4" s="17" t="str">
        <x:v>Image Use Note</x:v>
      </x:c>
    </x:row>
    <x:row r="5">
      <x:c r="A5" s="28" t="str">
        <x:v>ANGLE-01</x:v>
      </x:c>
      <x:c r="B5" s="29" t="str">
        <x:v>Synthetic Angle 1</x:v>
      </x:c>
      <x:c r="C5" s="29" t="str">
        <x:v>Question</x:v>
      </x:c>
      <x:c r="D5" s="29" t="str">
        <x:v>Natural engagement</x:v>
      </x:c>
      <x:c r="E5" s="29" t="str">
        <x:v>Video Group 1</x:v>
      </x:c>
      <x:c r="F5" s="29" t="str">
        <x:v>Minimal</x:v>
      </x:c>
      <x:c r="G5" s="29" t="str">
        <x:v>PROD-001</x:v>
      </x:c>
      <x:c r="H5" s="29" t="str">
        <x:v>Context matched</x:v>
      </x:c>
      <x:c r="I5" s="29" t="str">
        <x:v>Use only when visual cue is present</x:v>
      </x:c>
      <x:c r="J5" s="29" t="str">
        <x:v>Context + observation + optional question</x:v>
      </x:c>
      <x:c r="K5" s="29" t="str">
        <x:v>ตัวอย่างข้อความจำลอง 1</x:v>
      </x:c>
      <x:c r="L5" s="29" t="str">
        <x:v>Yes</x:v>
      </x:c>
      <x:c r="M5" s="29" t="str">
        <x:v>Yes</x:v>
      </x:c>
      <x:c r="N5" s="29" t="str">
        <x:v>Low</x:v>
      </x:c>
      <x:c r="O5" s="29" t="str">
        <x:v>Sensitive or unrelated topic</x:v>
      </x:c>
      <x:c r="P5" s="29" t="str">
        <x:v>No</x:v>
      </x:c>
      <x:c r="Q5" s="29" t="str">
        <x:v>Yes</x:v>
      </x:c>
      <x:c r="R5" s="29" t="str">
        <x:v>Synthetic framework</x:v>
      </x:c>
      <x:c r="S5" s="29" t="str">
        <x:v>ตัวอย่างสินค้า 1</x:v>
      </x:c>
      <x:c r="T5" s="29" t="str">
        <x:v>ตัวอย่างตอบกลับ 1</x:v>
      </x:c>
      <x:c r="U5" s="30" t="str">
        <x:v>Synthetic asset only</x:v>
      </x:c>
    </x:row>
    <x:row r="6">
      <x:c r="A6" s="31" t="str">
        <x:v>ANGLE-02</x:v>
      </x:c>
      <x:c r="B6" s="32" t="str">
        <x:v>Synthetic Angle 2</x:v>
      </x:c>
      <x:c r="C6" s="32" t="str">
        <x:v>Observation</x:v>
      </x:c>
      <x:c r="D6" s="32" t="str">
        <x:v>Natural engagement</x:v>
      </x:c>
      <x:c r="E6" s="32" t="str">
        <x:v>Video Group 2</x:v>
      </x:c>
      <x:c r="F6" s="32" t="str">
        <x:v>Smart</x:v>
      </x:c>
      <x:c r="G6" s="32" t="str">
        <x:v>PROD-002</x:v>
      </x:c>
      <x:c r="H6" s="32" t="str">
        <x:v>Context matched</x:v>
      </x:c>
      <x:c r="I6" s="32" t="str">
        <x:v>Use only when visual cue is present</x:v>
      </x:c>
      <x:c r="J6" s="32" t="str">
        <x:v>Context + observation + optional question</x:v>
      </x:c>
      <x:c r="K6" s="32" t="str">
        <x:v>ตัวอย่างข้อความจำลอง 2</x:v>
      </x:c>
      <x:c r="L6" s="32" t="str">
        <x:v>Yes</x:v>
      </x:c>
      <x:c r="M6" s="32" t="str">
        <x:v>No</x:v>
      </x:c>
      <x:c r="N6" s="32" t="str">
        <x:v>Low</x:v>
      </x:c>
      <x:c r="O6" s="32" t="str">
        <x:v>Sensitive or unrelated topic</x:v>
      </x:c>
      <x:c r="P6" s="32" t="str">
        <x:v>No</x:v>
      </x:c>
      <x:c r="Q6" s="32" t="str">
        <x:v>Yes</x:v>
      </x:c>
      <x:c r="R6" s="32" t="str">
        <x:v>Synthetic framework</x:v>
      </x:c>
      <x:c r="S6" s="32" t="str">
        <x:v>ตัวอย่างสินค้า 2</x:v>
      </x:c>
      <x:c r="T6" s="32" t="str">
        <x:v>ตัวอย่างตอบกลับ 2</x:v>
      </x:c>
      <x:c r="U6" s="33" t="str">
        <x:v>Synthetic asset only</x:v>
      </x:c>
    </x:row>
    <x:row r="7">
      <x:c r="A7" s="31" t="str">
        <x:v>ANGLE-03</x:v>
      </x:c>
      <x:c r="B7" s="32" t="str">
        <x:v>Synthetic Angle 3</x:v>
      </x:c>
      <x:c r="C7" s="32" t="str">
        <x:v>Question</x:v>
      </x:c>
      <x:c r="D7" s="32" t="str">
        <x:v>Natural engagement</x:v>
      </x:c>
      <x:c r="E7" s="32" t="str">
        <x:v>Video Group 3</x:v>
      </x:c>
      <x:c r="F7" s="32" t="str">
        <x:v>Casual</x:v>
      </x:c>
      <x:c r="G7" s="32" t="str">
        <x:v>PROD-003</x:v>
      </x:c>
      <x:c r="H7" s="32" t="str">
        <x:v>Context matched</x:v>
      </x:c>
      <x:c r="I7" s="32" t="str">
        <x:v>Use only when visual cue is present</x:v>
      </x:c>
      <x:c r="J7" s="32" t="str">
        <x:v>Context + observation + optional question</x:v>
      </x:c>
      <x:c r="K7" s="32" t="str">
        <x:v>ตัวอย่างข้อความจำลอง 3</x:v>
      </x:c>
      <x:c r="L7" s="32" t="str">
        <x:v>Yes</x:v>
      </x:c>
      <x:c r="M7" s="32" t="str">
        <x:v>No</x:v>
      </x:c>
      <x:c r="N7" s="32" t="str">
        <x:v>Low</x:v>
      </x:c>
      <x:c r="O7" s="32" t="str">
        <x:v>Sensitive or unrelated topic</x:v>
      </x:c>
      <x:c r="P7" s="32" t="str">
        <x:v>No</x:v>
      </x:c>
      <x:c r="Q7" s="32" t="str">
        <x:v>Yes</x:v>
      </x:c>
      <x:c r="R7" s="32" t="str">
        <x:v>Synthetic framework</x:v>
      </x:c>
      <x:c r="S7" s="32" t="str">
        <x:v>ตัวอย่างสินค้า 3</x:v>
      </x:c>
      <x:c r="T7" s="32" t="str">
        <x:v>ตัวอย่างตอบกลับ 3</x:v>
      </x:c>
      <x:c r="U7" s="33" t="str">
        <x:v>Synthetic asset only</x:v>
      </x:c>
    </x:row>
    <x:row r="8">
      <x:c r="A8" s="31" t="str">
        <x:v>ANGLE-04</x:v>
      </x:c>
      <x:c r="B8" s="32" t="str">
        <x:v>Synthetic Angle 4</x:v>
      </x:c>
      <x:c r="C8" s="32" t="str">
        <x:v>Observation</x:v>
      </x:c>
      <x:c r="D8" s="32" t="str">
        <x:v>Natural engagement</x:v>
      </x:c>
      <x:c r="E8" s="32" t="str">
        <x:v>Video Group 1</x:v>
      </x:c>
      <x:c r="F8" s="32" t="str">
        <x:v>Minimal</x:v>
      </x:c>
      <x:c r="G8" s="32" t="str">
        <x:v>PROD-004</x:v>
      </x:c>
      <x:c r="H8" s="32" t="str">
        <x:v>Context matched</x:v>
      </x:c>
      <x:c r="I8" s="32" t="str">
        <x:v>Use only when visual cue is present</x:v>
      </x:c>
      <x:c r="J8" s="32" t="str">
        <x:v>Context + observation + optional question</x:v>
      </x:c>
      <x:c r="K8" s="32" t="str">
        <x:v>ตัวอย่างข้อความจำลอง 4</x:v>
      </x:c>
      <x:c r="L8" s="32" t="str">
        <x:v>Yes</x:v>
      </x:c>
      <x:c r="M8" s="32" t="str">
        <x:v>Yes</x:v>
      </x:c>
      <x:c r="N8" s="32" t="str">
        <x:v>Low</x:v>
      </x:c>
      <x:c r="O8" s="32" t="str">
        <x:v>Sensitive or unrelated topic</x:v>
      </x:c>
      <x:c r="P8" s="32" t="str">
        <x:v>No</x:v>
      </x:c>
      <x:c r="Q8" s="32" t="str">
        <x:v>Yes</x:v>
      </x:c>
      <x:c r="R8" s="32" t="str">
        <x:v>Synthetic framework</x:v>
      </x:c>
      <x:c r="S8" s="32" t="str">
        <x:v>ตัวอย่างสินค้า 4</x:v>
      </x:c>
      <x:c r="T8" s="32" t="str">
        <x:v>ตัวอย่างตอบกลับ 4</x:v>
      </x:c>
      <x:c r="U8" s="33" t="str">
        <x:v>Synthetic asset only</x:v>
      </x:c>
    </x:row>
    <x:row r="9">
      <x:c r="A9" s="31" t="str">
        <x:v>ANGLE-05</x:v>
      </x:c>
      <x:c r="B9" s="32" t="str">
        <x:v>Synthetic Angle 5</x:v>
      </x:c>
      <x:c r="C9" s="32" t="str">
        <x:v>Question</x:v>
      </x:c>
      <x:c r="D9" s="32" t="str">
        <x:v>Natural engagement</x:v>
      </x:c>
      <x:c r="E9" s="32" t="str">
        <x:v>Video Group 2</x:v>
      </x:c>
      <x:c r="F9" s="32" t="str">
        <x:v>Smart</x:v>
      </x:c>
      <x:c r="G9" s="32" t="str">
        <x:v>PROD-005</x:v>
      </x:c>
      <x:c r="H9" s="32" t="str">
        <x:v>Context matched</x:v>
      </x:c>
      <x:c r="I9" s="32" t="str">
        <x:v>Use only when visual cue is present</x:v>
      </x:c>
      <x:c r="J9" s="32" t="str">
        <x:v>Context + observation + optional question</x:v>
      </x:c>
      <x:c r="K9" s="32" t="str">
        <x:v>ตัวอย่างข้อความจำลอง 5</x:v>
      </x:c>
      <x:c r="L9" s="32" t="str">
        <x:v>Yes</x:v>
      </x:c>
      <x:c r="M9" s="32" t="str">
        <x:v>No</x:v>
      </x:c>
      <x:c r="N9" s="32" t="str">
        <x:v>Low</x:v>
      </x:c>
      <x:c r="O9" s="32" t="str">
        <x:v>Sensitive or unrelated topic</x:v>
      </x:c>
      <x:c r="P9" s="32" t="str">
        <x:v>No</x:v>
      </x:c>
      <x:c r="Q9" s="32" t="str">
        <x:v>Yes</x:v>
      </x:c>
      <x:c r="R9" s="32" t="str">
        <x:v>Synthetic framework</x:v>
      </x:c>
      <x:c r="S9" s="32" t="str">
        <x:v>ตัวอย่างสินค้า 5</x:v>
      </x:c>
      <x:c r="T9" s="32" t="str">
        <x:v>ตัวอย่างตอบกลับ 5</x:v>
      </x:c>
      <x:c r="U9" s="33" t="str">
        <x:v>Synthetic asset only</x:v>
      </x:c>
    </x:row>
    <x:row r="10">
      <x:c r="A10" s="31" t="str">
        <x:v>ANGLE-06</x:v>
      </x:c>
      <x:c r="B10" s="32" t="str">
        <x:v>Synthetic Angle 6</x:v>
      </x:c>
      <x:c r="C10" s="32" t="str">
        <x:v>Observation</x:v>
      </x:c>
      <x:c r="D10" s="32" t="str">
        <x:v>Natural engagement</x:v>
      </x:c>
      <x:c r="E10" s="32" t="str">
        <x:v>Video Group 3</x:v>
      </x:c>
      <x:c r="F10" s="32" t="str">
        <x:v>Casual</x:v>
      </x:c>
      <x:c r="G10" s="32" t="str">
        <x:v>PROD-006</x:v>
      </x:c>
      <x:c r="H10" s="32" t="str">
        <x:v>Context matched</x:v>
      </x:c>
      <x:c r="I10" s="32" t="str">
        <x:v>Use only when visual cue is present</x:v>
      </x:c>
      <x:c r="J10" s="32" t="str">
        <x:v>Context + observation + optional question</x:v>
      </x:c>
      <x:c r="K10" s="32" t="str">
        <x:v>ตัวอย่างข้อความจำลอง 6</x:v>
      </x:c>
      <x:c r="L10" s="32" t="str">
        <x:v>Yes</x:v>
      </x:c>
      <x:c r="M10" s="32" t="str">
        <x:v>No</x:v>
      </x:c>
      <x:c r="N10" s="32" t="str">
        <x:v>Low</x:v>
      </x:c>
      <x:c r="O10" s="32" t="str">
        <x:v>Sensitive or unrelated topic</x:v>
      </x:c>
      <x:c r="P10" s="32" t="str">
        <x:v>No</x:v>
      </x:c>
      <x:c r="Q10" s="32" t="str">
        <x:v>Yes</x:v>
      </x:c>
      <x:c r="R10" s="32" t="str">
        <x:v>Synthetic framework</x:v>
      </x:c>
      <x:c r="S10" s="32" t="str">
        <x:v>ตัวอย่างสินค้า 6</x:v>
      </x:c>
      <x:c r="T10" s="32" t="str">
        <x:v>ตัวอย่างตอบกลับ 6</x:v>
      </x:c>
      <x:c r="U10" s="33" t="str">
        <x:v>Synthetic asset only</x:v>
      </x:c>
    </x:row>
    <x:row r="11">
      <x:c r="A11" s="31" t="str">
        <x:v>ANGLE-07</x:v>
      </x:c>
      <x:c r="B11" s="32" t="str">
        <x:v>Synthetic Angle 7</x:v>
      </x:c>
      <x:c r="C11" s="32" t="str">
        <x:v>Question</x:v>
      </x:c>
      <x:c r="D11" s="32" t="str">
        <x:v>Natural engagement</x:v>
      </x:c>
      <x:c r="E11" s="32" t="str">
        <x:v>Video Group 1</x:v>
      </x:c>
      <x:c r="F11" s="32" t="str">
        <x:v>Minimal</x:v>
      </x:c>
      <x:c r="G11" s="32" t="str">
        <x:v>PROD-007</x:v>
      </x:c>
      <x:c r="H11" s="32" t="str">
        <x:v>Context matched</x:v>
      </x:c>
      <x:c r="I11" s="32" t="str">
        <x:v>Use only when visual cue is present</x:v>
      </x:c>
      <x:c r="J11" s="32" t="str">
        <x:v>Context + observation + optional question</x:v>
      </x:c>
      <x:c r="K11" s="32" t="str">
        <x:v>ตัวอย่างข้อความจำลอง 7</x:v>
      </x:c>
      <x:c r="L11" s="32" t="str">
        <x:v>Yes</x:v>
      </x:c>
      <x:c r="M11" s="32" t="str">
        <x:v>Yes</x:v>
      </x:c>
      <x:c r="N11" s="32" t="str">
        <x:v>Low</x:v>
      </x:c>
      <x:c r="O11" s="32" t="str">
        <x:v>Sensitive or unrelated topic</x:v>
      </x:c>
      <x:c r="P11" s="32" t="str">
        <x:v>No</x:v>
      </x:c>
      <x:c r="Q11" s="32" t="str">
        <x:v>Yes</x:v>
      </x:c>
      <x:c r="R11" s="32" t="str">
        <x:v>Synthetic framework</x:v>
      </x:c>
      <x:c r="S11" s="32" t="str">
        <x:v>ตัวอย่างสินค้า 7</x:v>
      </x:c>
      <x:c r="T11" s="32" t="str">
        <x:v>ตัวอย่างตอบกลับ 7</x:v>
      </x:c>
      <x:c r="U11" s="33" t="str">
        <x:v>Synthetic asset only</x:v>
      </x:c>
    </x:row>
    <x:row r="12">
      <x:c r="A12" s="31" t="str">
        <x:v>ANGLE-08</x:v>
      </x:c>
      <x:c r="B12" s="32" t="str">
        <x:v>Synthetic Angle 8</x:v>
      </x:c>
      <x:c r="C12" s="32" t="str">
        <x:v>Observation</x:v>
      </x:c>
      <x:c r="D12" s="32" t="str">
        <x:v>Natural engagement</x:v>
      </x:c>
      <x:c r="E12" s="32" t="str">
        <x:v>Video Group 2</x:v>
      </x:c>
      <x:c r="F12" s="32" t="str">
        <x:v>Smart</x:v>
      </x:c>
      <x:c r="G12" s="32" t="str">
        <x:v>PROD-008</x:v>
      </x:c>
      <x:c r="H12" s="32" t="str">
        <x:v>Context matched</x:v>
      </x:c>
      <x:c r="I12" s="32" t="str">
        <x:v>Use only when visual cue is present</x:v>
      </x:c>
      <x:c r="J12" s="32" t="str">
        <x:v>Context + observation + optional question</x:v>
      </x:c>
      <x:c r="K12" s="32" t="str">
        <x:v>ตัวอย่างข้อความจำลอง 8</x:v>
      </x:c>
      <x:c r="L12" s="32" t="str">
        <x:v>Yes</x:v>
      </x:c>
      <x:c r="M12" s="32" t="str">
        <x:v>No</x:v>
      </x:c>
      <x:c r="N12" s="32" t="str">
        <x:v>Medium</x:v>
      </x:c>
      <x:c r="O12" s="32" t="str">
        <x:v>Sensitive or unrelated topic</x:v>
      </x:c>
      <x:c r="P12" s="32" t="str">
        <x:v>Yes</x:v>
      </x:c>
      <x:c r="Q12" s="32" t="str">
        <x:v>Yes</x:v>
      </x:c>
      <x:c r="R12" s="32" t="str">
        <x:v>Synthetic framework</x:v>
      </x:c>
      <x:c r="S12" s="32" t="str">
        <x:v>ตัวอย่างสินค้า 8</x:v>
      </x:c>
      <x:c r="T12" s="32" t="str">
        <x:v>ตัวอย่างตอบกลับ 8</x:v>
      </x:c>
      <x:c r="U12" s="33" t="str">
        <x:v>Synthetic asset only</x:v>
      </x:c>
    </x:row>
    <x:row r="13">
      <x:c r="A13" s="31" t="str">
        <x:v>ANGLE-09</x:v>
      </x:c>
      <x:c r="B13" s="32" t="str">
        <x:v>Synthetic Angle 9</x:v>
      </x:c>
      <x:c r="C13" s="32" t="str">
        <x:v>Question</x:v>
      </x:c>
      <x:c r="D13" s="32" t="str">
        <x:v>Natural engagement</x:v>
      </x:c>
      <x:c r="E13" s="32" t="str">
        <x:v>Video Group 3</x:v>
      </x:c>
      <x:c r="F13" s="32" t="str">
        <x:v>Casual</x:v>
      </x:c>
      <x:c r="G13" s="32" t="str">
        <x:v>PROD-009</x:v>
      </x:c>
      <x:c r="H13" s="32" t="str">
        <x:v>Context matched</x:v>
      </x:c>
      <x:c r="I13" s="32" t="str">
        <x:v>Use only when visual cue is present</x:v>
      </x:c>
      <x:c r="J13" s="32" t="str">
        <x:v>Context + observation + optional question</x:v>
      </x:c>
      <x:c r="K13" s="32" t="str">
        <x:v>ตัวอย่างข้อความจำลอง 9</x:v>
      </x:c>
      <x:c r="L13" s="32" t="str">
        <x:v>Yes</x:v>
      </x:c>
      <x:c r="M13" s="32" t="str">
        <x:v>No</x:v>
      </x:c>
      <x:c r="N13" s="32" t="str">
        <x:v>Medium</x:v>
      </x:c>
      <x:c r="O13" s="32" t="str">
        <x:v>Sensitive or unrelated topic</x:v>
      </x:c>
      <x:c r="P13" s="32" t="str">
        <x:v>Yes</x:v>
      </x:c>
      <x:c r="Q13" s="32" t="str">
        <x:v>Yes</x:v>
      </x:c>
      <x:c r="R13" s="32" t="str">
        <x:v>Synthetic framework</x:v>
      </x:c>
      <x:c r="S13" s="32" t="str">
        <x:v>ตัวอย่างสินค้า 9</x:v>
      </x:c>
      <x:c r="T13" s="32" t="str">
        <x:v>ตัวอย่างตอบกลับ 9</x:v>
      </x:c>
      <x:c r="U13" s="33" t="str">
        <x:v>Synthetic asset only</x:v>
      </x:c>
    </x:row>
    <x:row r="14">
      <x:c r="A14" s="34" t="str">
        <x:v>ANGLE-10</x:v>
      </x:c>
      <x:c r="B14" s="35" t="str">
        <x:v>Synthetic Angle 10</x:v>
      </x:c>
      <x:c r="C14" s="35" t="str">
        <x:v>Observation</x:v>
      </x:c>
      <x:c r="D14" s="35" t="str">
        <x:v>Natural engagement</x:v>
      </x:c>
      <x:c r="E14" s="35" t="str">
        <x:v>Video Group 1</x:v>
      </x:c>
      <x:c r="F14" s="35" t="str">
        <x:v>Minimal</x:v>
      </x:c>
      <x:c r="G14" s="35" t="str">
        <x:v>PROD-010</x:v>
      </x:c>
      <x:c r="H14" s="35" t="str">
        <x:v>Context matched</x:v>
      </x:c>
      <x:c r="I14" s="35" t="str">
        <x:v>Use only when visual cue is present</x:v>
      </x:c>
      <x:c r="J14" s="35" t="str">
        <x:v>Context + observation + optional question</x:v>
      </x:c>
      <x:c r="K14" s="35" t="str">
        <x:v>ตัวอย่างข้อความจำลอง 10</x:v>
      </x:c>
      <x:c r="L14" s="35" t="str">
        <x:v>Yes</x:v>
      </x:c>
      <x:c r="M14" s="35" t="str">
        <x:v>Yes</x:v>
      </x:c>
      <x:c r="N14" s="35" t="str">
        <x:v>Medium</x:v>
      </x:c>
      <x:c r="O14" s="35" t="str">
        <x:v>Sensitive or unrelated topic</x:v>
      </x:c>
      <x:c r="P14" s="35" t="str">
        <x:v>Yes</x:v>
      </x:c>
      <x:c r="Q14" s="35" t="str">
        <x:v>Yes</x:v>
      </x:c>
      <x:c r="R14" s="35" t="str">
        <x:v>Synthetic framework</x:v>
      </x:c>
      <x:c r="S14" s="35" t="str">
        <x:v>ตัวอย่างสินค้า 10</x:v>
      </x:c>
      <x:c r="T14" s="35" t="str">
        <x:v>ตัวอย่างตอบกลับ 10</x:v>
      </x:c>
      <x:c r="U14" s="36" t="str">
        <x:v>Synthetic asset only</x:v>
      </x:c>
    </x:row>
  </x:sheetData>
  <x:mergeCells>
    <x:mergeCell ref="A1:H1"/>
    <x:mergeCell ref="A2:H2"/>
  </x:mergeCells>
  <x:dataValidations count="1">
    <x:dataValidation type="list" sqref="Q5:Q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bbed7598ee4d1d"/>
  </x:tableParts>
</x:worksheet>
</file>